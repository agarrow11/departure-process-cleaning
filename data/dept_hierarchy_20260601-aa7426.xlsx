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.sharepoint.com/sites/BainPeopleAnalyticsworkingteam/Shared Documents/Departure Survey/Data Cleaning Inputs/Data Cleaning_Mapping Files/"/>
    </mc:Choice>
  </mc:AlternateContent>
  <xr:revisionPtr revIDLastSave="308" documentId="8_{01BEF63C-5033-438C-8D9D-B48350544E5C}" xr6:coauthVersionLast="47" xr6:coauthVersionMax="47" xr10:uidLastSave="{87DBD41C-AA55-4B8E-B418-23FB973E41B1}"/>
  <bookViews>
    <workbookView xWindow="-120" yWindow="-120" windowWidth="29040" windowHeight="17520" activeTab="1" xr2:uid="{00000000-000D-0000-FFFF-FFFF00000000}"/>
  </bookViews>
  <sheets>
    <sheet name="Sheet1" sheetId="3" r:id="rId1"/>
    <sheet name="Dept Hierarchy_260206" sheetId="2" r:id="rId2"/>
  </sheets>
  <definedNames>
    <definedName name="_xlnm._FilterDatabase" localSheetId="1" hidden="1">'Dept Hierarchy_260206'!$A$1:$R$413</definedName>
    <definedName name="BtfeIndexSheetTable">#REF!</definedName>
  </definedNames>
  <calcPr calcId="191028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3" i="2" l="1"/>
  <c r="Q412" i="2"/>
  <c r="Q411" i="2"/>
  <c r="Q410" i="2"/>
  <c r="Q408" i="2"/>
  <c r="Q409" i="2"/>
  <c r="Q407" i="2"/>
  <c r="Q406" i="2"/>
  <c r="Q405" i="2"/>
  <c r="A405" i="2"/>
  <c r="A408" i="2"/>
  <c r="A409" i="2"/>
  <c r="A410" i="2"/>
  <c r="A411" i="2"/>
  <c r="A412" i="2"/>
  <c r="A413" i="2"/>
  <c r="A406" i="2"/>
  <c r="A40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Q404" i="2"/>
  <c r="Q403" i="2"/>
  <c r="Q111" i="2"/>
  <c r="Q168" i="2"/>
  <c r="A2" i="2"/>
  <c r="Q363" i="2"/>
  <c r="Q387" i="2"/>
  <c r="Q258" i="2"/>
  <c r="Q257" i="2"/>
  <c r="Q256" i="2"/>
  <c r="Q397" i="2"/>
  <c r="Q3" i="2"/>
  <c r="Q17" i="2"/>
  <c r="Q23" i="2"/>
  <c r="Q22" i="2"/>
  <c r="Q16" i="2"/>
  <c r="Q21" i="2"/>
  <c r="Q326" i="2"/>
  <c r="Q334" i="2"/>
  <c r="Q166" i="2"/>
  <c r="Q20" i="2"/>
  <c r="Q343" i="2"/>
  <c r="Q4" i="2"/>
  <c r="Q5" i="2"/>
  <c r="Q54" i="2"/>
  <c r="Q7" i="2"/>
  <c r="Q8" i="2"/>
  <c r="Q9" i="2"/>
  <c r="Q10" i="2"/>
  <c r="Q11" i="2"/>
  <c r="Q12" i="2"/>
  <c r="Q13" i="2"/>
  <c r="Q15" i="2"/>
  <c r="Q14" i="2"/>
  <c r="Q116" i="2"/>
  <c r="Q128" i="2"/>
  <c r="Q170" i="2"/>
  <c r="Q171" i="2"/>
  <c r="Q179" i="2"/>
  <c r="Q246" i="2"/>
  <c r="Q25" i="2"/>
  <c r="Q266" i="2"/>
  <c r="Q270" i="2"/>
  <c r="Q282" i="2"/>
  <c r="Q314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255" i="2"/>
  <c r="Q395" i="2"/>
  <c r="Q53" i="2"/>
  <c r="Q401" i="2"/>
  <c r="Q55" i="2"/>
  <c r="Q56" i="2"/>
  <c r="Q57" i="2"/>
  <c r="Q336" i="2"/>
  <c r="Q58" i="2"/>
  <c r="Q59" i="2"/>
  <c r="Q61" i="2"/>
  <c r="Q60" i="2"/>
  <c r="Q62" i="2"/>
  <c r="Q63" i="2"/>
  <c r="Q64" i="2"/>
  <c r="Q65" i="2"/>
  <c r="Q66" i="2"/>
  <c r="Q67" i="2"/>
  <c r="Q68" i="2"/>
  <c r="Q69" i="2"/>
  <c r="Q70" i="2"/>
  <c r="Q73" i="2"/>
  <c r="Q71" i="2"/>
  <c r="Q72" i="2"/>
  <c r="Q74" i="2"/>
  <c r="Q75" i="2"/>
  <c r="Q76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2" i="2"/>
  <c r="Q101" i="2"/>
  <c r="Q103" i="2"/>
  <c r="Q104" i="2"/>
  <c r="Q105" i="2"/>
  <c r="Q106" i="2"/>
  <c r="Q107" i="2"/>
  <c r="Q110" i="2"/>
  <c r="Q108" i="2"/>
  <c r="Q109" i="2"/>
  <c r="Q113" i="2"/>
  <c r="Q112" i="2"/>
  <c r="Q114" i="2"/>
  <c r="Q115" i="2"/>
  <c r="Q117" i="2"/>
  <c r="Q118" i="2"/>
  <c r="Q119" i="2"/>
  <c r="Q120" i="2"/>
  <c r="Q121" i="2"/>
  <c r="Q122" i="2"/>
  <c r="Q123" i="2"/>
  <c r="Q124" i="2"/>
  <c r="Q125" i="2"/>
  <c r="Q126" i="2"/>
  <c r="Q127" i="2"/>
  <c r="Q344" i="2"/>
  <c r="Q130" i="2"/>
  <c r="Q131" i="2"/>
  <c r="Q132" i="2"/>
  <c r="Q133" i="2"/>
  <c r="Q134" i="2"/>
  <c r="Q135" i="2"/>
  <c r="Q136" i="2"/>
  <c r="Q137" i="2"/>
  <c r="Q3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7" i="2"/>
  <c r="Q169" i="2"/>
  <c r="Q18" i="2"/>
  <c r="Q19" i="2"/>
  <c r="Q172" i="2"/>
  <c r="Q173" i="2"/>
  <c r="Q174" i="2"/>
  <c r="Q175" i="2"/>
  <c r="Q176" i="2"/>
  <c r="Q177" i="2"/>
  <c r="Q178" i="2"/>
  <c r="Q27" i="2"/>
  <c r="Q180" i="2"/>
  <c r="Q181" i="2"/>
  <c r="Q182" i="2"/>
  <c r="Q338" i="2"/>
  <c r="Q339" i="2"/>
  <c r="Q183" i="2"/>
  <c r="Q184" i="2"/>
  <c r="Q185" i="2"/>
  <c r="Q186" i="2"/>
  <c r="Q187" i="2"/>
  <c r="Q188" i="2"/>
  <c r="Q77" i="2"/>
  <c r="Q129" i="2"/>
  <c r="Q189" i="2"/>
  <c r="Q192" i="2"/>
  <c r="Q24" i="2"/>
  <c r="Q194" i="2"/>
  <c r="Q195" i="2"/>
  <c r="Q196" i="2"/>
  <c r="Q197" i="2"/>
  <c r="Q198" i="2"/>
  <c r="Q199" i="2"/>
  <c r="Q201" i="2"/>
  <c r="Q202" i="2"/>
  <c r="Q203" i="2"/>
  <c r="Q204" i="2"/>
  <c r="Q205" i="2"/>
  <c r="Q206" i="2"/>
  <c r="Q190" i="2"/>
  <c r="Q191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357" i="2"/>
  <c r="Q231" i="2"/>
  <c r="Q232" i="2"/>
  <c r="Q233" i="2"/>
  <c r="Q234" i="2"/>
  <c r="Q235" i="2"/>
  <c r="Q236" i="2"/>
  <c r="Q237" i="2"/>
  <c r="Q238" i="2"/>
  <c r="Q239" i="2"/>
  <c r="Q240" i="2"/>
  <c r="Q2" i="2"/>
  <c r="Q243" i="2"/>
  <c r="Q244" i="2"/>
  <c r="Q245" i="2"/>
  <c r="Q247" i="2"/>
  <c r="Q248" i="2"/>
  <c r="Q249" i="2"/>
  <c r="Q250" i="2"/>
  <c r="Q252" i="2"/>
  <c r="Q251" i="2"/>
  <c r="Q253" i="2"/>
  <c r="Q254" i="2"/>
  <c r="Q259" i="2"/>
  <c r="Q260" i="2"/>
  <c r="Q261" i="2"/>
  <c r="Q262" i="2"/>
  <c r="Q263" i="2"/>
  <c r="Q264" i="2"/>
  <c r="Q265" i="2"/>
  <c r="Q267" i="2"/>
  <c r="Q268" i="2"/>
  <c r="Q269" i="2"/>
  <c r="Q26" i="2"/>
  <c r="Q271" i="2"/>
  <c r="Q272" i="2"/>
  <c r="Q273" i="2"/>
  <c r="Q274" i="2"/>
  <c r="Q281" i="2"/>
  <c r="Q275" i="2"/>
  <c r="Q276" i="2"/>
  <c r="Q277" i="2"/>
  <c r="Q278" i="2"/>
  <c r="Q279" i="2"/>
  <c r="Q280" i="2"/>
  <c r="Q51" i="2"/>
  <c r="Q283" i="2"/>
  <c r="Q284" i="2"/>
  <c r="Q285" i="2"/>
  <c r="Q286" i="2"/>
  <c r="Q287" i="2"/>
  <c r="Q288" i="2"/>
  <c r="Q289" i="2"/>
  <c r="Q290" i="2"/>
  <c r="Q293" i="2"/>
  <c r="Q295" i="2"/>
  <c r="Q294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40" i="2"/>
  <c r="Q310" i="2"/>
  <c r="Q311" i="2"/>
  <c r="Q312" i="2"/>
  <c r="Q313" i="2"/>
  <c r="Q378" i="2"/>
  <c r="Q315" i="2"/>
  <c r="Q316" i="2"/>
  <c r="Q317" i="2"/>
  <c r="Q318" i="2"/>
  <c r="Q319" i="2"/>
  <c r="Q320" i="2"/>
  <c r="Q321" i="2"/>
  <c r="Q324" i="2"/>
  <c r="Q322" i="2"/>
  <c r="Q323" i="2"/>
  <c r="Q6" i="2"/>
  <c r="Q327" i="2"/>
  <c r="Q208" i="2"/>
  <c r="Q207" i="2"/>
  <c r="Q328" i="2"/>
  <c r="Q329" i="2"/>
  <c r="Q330" i="2"/>
  <c r="Q331" i="2"/>
  <c r="Q332" i="2"/>
  <c r="Q333" i="2"/>
  <c r="Q341" i="2"/>
  <c r="Q376" i="2"/>
  <c r="Q345" i="2"/>
  <c r="Q346" i="2"/>
  <c r="Q370" i="2"/>
  <c r="Q347" i="2"/>
  <c r="Q348" i="2"/>
  <c r="Q349" i="2"/>
  <c r="Q350" i="2"/>
  <c r="Q325" i="2"/>
  <c r="Q358" i="2"/>
  <c r="Q359" i="2"/>
  <c r="Q360" i="2"/>
  <c r="Q352" i="2"/>
  <c r="Q342" i="2"/>
  <c r="Q351" i="2"/>
  <c r="Q353" i="2"/>
  <c r="Q354" i="2"/>
  <c r="Q368" i="2"/>
  <c r="Q355" i="2"/>
  <c r="Q356" i="2"/>
  <c r="Q230" i="2"/>
  <c r="Q361" i="2"/>
  <c r="Q362" i="2"/>
  <c r="Q369" i="2"/>
  <c r="Q371" i="2"/>
  <c r="Q389" i="2"/>
  <c r="Q366" i="2"/>
  <c r="Q367" i="2"/>
  <c r="Q365" i="2"/>
  <c r="Q364" i="2"/>
  <c r="Q373" i="2"/>
  <c r="Q374" i="2"/>
  <c r="Q375" i="2"/>
  <c r="Q372" i="2"/>
  <c r="Q377" i="2"/>
  <c r="Q382" i="2"/>
  <c r="Q193" i="2"/>
  <c r="Q379" i="2"/>
  <c r="Q380" i="2"/>
  <c r="Q381" i="2"/>
  <c r="Q383" i="2"/>
  <c r="Q384" i="2"/>
  <c r="Q385" i="2"/>
  <c r="Q386" i="2"/>
  <c r="Q390" i="2"/>
  <c r="Q391" i="2"/>
  <c r="Q392" i="2"/>
  <c r="Q393" i="2"/>
  <c r="Q394" i="2"/>
  <c r="Q241" i="2"/>
  <c r="Q396" i="2"/>
  <c r="Q242" i="2"/>
  <c r="Q398" i="2"/>
  <c r="Q400" i="2"/>
  <c r="Q399" i="2"/>
  <c r="Q402" i="2"/>
  <c r="Q200" i="2"/>
  <c r="Q335" i="2"/>
  <c r="Q292" i="2"/>
  <c r="Q291" i="2"/>
  <c r="Q388" i="2"/>
  <c r="Q52" i="2"/>
</calcChain>
</file>

<file path=xl/sharedStrings.xml><?xml version="1.0" encoding="utf-8"?>
<sst xmlns="http://schemas.openxmlformats.org/spreadsheetml/2006/main" count="6703" uniqueCount="1797">
  <si>
    <t xml:space="preserve">Status </t>
  </si>
  <si>
    <t>dept_code</t>
  </si>
  <si>
    <t>Department</t>
  </si>
  <si>
    <t>Sub-Function</t>
  </si>
  <si>
    <t>People Function</t>
  </si>
  <si>
    <t>dept_short_text</t>
  </si>
  <si>
    <t>dept_long_text</t>
  </si>
  <si>
    <t>sub_function_id_final</t>
  </si>
  <si>
    <t>sub_func_short_text</t>
  </si>
  <si>
    <t>sub_func_long_text</t>
  </si>
  <si>
    <t>function_id_final</t>
  </si>
  <si>
    <t>func_original_short_text</t>
  </si>
  <si>
    <t>func_original</t>
  </si>
  <si>
    <t>func_short_text</t>
  </si>
  <si>
    <t>func_long_display</t>
  </si>
  <si>
    <t>Current</t>
  </si>
  <si>
    <t>B1</t>
  </si>
  <si>
    <t>Bain Capability Network Department</t>
  </si>
  <si>
    <t/>
  </si>
  <si>
    <t>Bain Capability Network Function</t>
  </si>
  <si>
    <t>BCN</t>
  </si>
  <si>
    <t>Bain Capability Network</t>
  </si>
  <si>
    <t>BC</t>
  </si>
  <si>
    <t>Historical</t>
  </si>
  <si>
    <t>B2</t>
  </si>
  <si>
    <t>BCN Consumer Products and Retail Department</t>
  </si>
  <si>
    <t>BCN CP and Retail</t>
  </si>
  <si>
    <t>BCN Consumer Products and Retail</t>
  </si>
  <si>
    <t>B4</t>
  </si>
  <si>
    <t>BCN Corporate Finance and Strategy Department</t>
  </si>
  <si>
    <t>BCN Corp Finance &amp; Strategy</t>
  </si>
  <si>
    <t>BCN Corporate Finance and Strategy</t>
  </si>
  <si>
    <t>B5</t>
  </si>
  <si>
    <t>BCN Pricing Department</t>
  </si>
  <si>
    <t>B7</t>
  </si>
  <si>
    <t>BCN Data Businesses Department</t>
  </si>
  <si>
    <t>BCN Data Businesses</t>
  </si>
  <si>
    <t>B8</t>
  </si>
  <si>
    <t>BCN Financial Services Department</t>
  </si>
  <si>
    <t>BCN Financial Services</t>
  </si>
  <si>
    <t>B9</t>
  </si>
  <si>
    <t>BCN Cost Transformation and Procurement Department</t>
  </si>
  <si>
    <t>BA</t>
  </si>
  <si>
    <t>BCN Academy Department</t>
  </si>
  <si>
    <t>BCN Academy</t>
  </si>
  <si>
    <t>BF</t>
  </si>
  <si>
    <t>BH</t>
  </si>
  <si>
    <t>BCN Healthcare Department</t>
  </si>
  <si>
    <t>BCN Healthcare</t>
  </si>
  <si>
    <t>BP</t>
  </si>
  <si>
    <t>Bain Capability Network - New Delhi Department</t>
  </si>
  <si>
    <t>BCN - New Delhi</t>
  </si>
  <si>
    <t>Bain Capability Network - New Delhi</t>
  </si>
  <si>
    <t>C0</t>
  </si>
  <si>
    <t>BCN Supply Chain and MVP Labs Department</t>
  </si>
  <si>
    <t>C1</t>
  </si>
  <si>
    <t>BCN PEG EMEA and APAC Department</t>
  </si>
  <si>
    <t>BCN PEG EMEA and APAC</t>
  </si>
  <si>
    <t>C2</t>
  </si>
  <si>
    <t>BCN PEG Americas Department</t>
  </si>
  <si>
    <t>BCN PEG Americas</t>
  </si>
  <si>
    <t>CQ</t>
  </si>
  <si>
    <t>DT</t>
  </si>
  <si>
    <t>BCN Data &amp; Insights Department</t>
  </si>
  <si>
    <t>BCN Data &amp; Insights</t>
  </si>
  <si>
    <t>FX</t>
  </si>
  <si>
    <t>BCN Flex Department</t>
  </si>
  <si>
    <t>BCN Flex</t>
  </si>
  <si>
    <t>ID</t>
  </si>
  <si>
    <t>BCN India CoE Department</t>
  </si>
  <si>
    <t>BCN India CoE</t>
  </si>
  <si>
    <t>II</t>
  </si>
  <si>
    <t>BCN Data &amp; Insights Industries Department</t>
  </si>
  <si>
    <t>IU</t>
  </si>
  <si>
    <t>NC</t>
  </si>
  <si>
    <t>BCN Corporate Finance Department</t>
  </si>
  <si>
    <t>BCN Corp. Finance</t>
  </si>
  <si>
    <t>BCN Corporate Finance</t>
  </si>
  <si>
    <t>ND</t>
  </si>
  <si>
    <t>BCN Data &amp; Insights Capabilities Department</t>
  </si>
  <si>
    <t>NE</t>
  </si>
  <si>
    <t>BCN ENR Department</t>
  </si>
  <si>
    <t>BCN ENR</t>
  </si>
  <si>
    <t>NF</t>
  </si>
  <si>
    <t>BCN Cost Transformation Department</t>
  </si>
  <si>
    <t>NL</t>
  </si>
  <si>
    <t>BCN Labs Department</t>
  </si>
  <si>
    <t>BCN Labs</t>
  </si>
  <si>
    <t>NM</t>
  </si>
  <si>
    <t>BCN S&amp;M Transformation Department</t>
  </si>
  <si>
    <t>NR</t>
  </si>
  <si>
    <t>NS</t>
  </si>
  <si>
    <t>BCN Strategy Department</t>
  </si>
  <si>
    <t>BCN Strategy</t>
  </si>
  <si>
    <t>NU</t>
  </si>
  <si>
    <t>BCN Nucleus Department</t>
  </si>
  <si>
    <t>BCN Nucleus</t>
  </si>
  <si>
    <t>NV</t>
  </si>
  <si>
    <t>BCN Visualization Department</t>
  </si>
  <si>
    <t>BCN Vis.</t>
  </si>
  <si>
    <t>BCN Visualization</t>
  </si>
  <si>
    <t>OX</t>
  </si>
  <si>
    <t>BCN Operations Excellence Department</t>
  </si>
  <si>
    <t>SE</t>
  </si>
  <si>
    <t>BCN Australia-SEA Department</t>
  </si>
  <si>
    <t>BCN Australia-SEA</t>
  </si>
  <si>
    <t>TT</t>
  </si>
  <si>
    <t>BCN Tech Media and Telecom Department</t>
  </si>
  <si>
    <t>BCN TMT</t>
  </si>
  <si>
    <t>VL</t>
  </si>
  <si>
    <t>BCN Consumer Products Department</t>
  </si>
  <si>
    <t>BCN Cons. Prods.</t>
  </si>
  <si>
    <t>BCN Consumer Products</t>
  </si>
  <si>
    <t>VM</t>
  </si>
  <si>
    <t>BCN Retail Department</t>
  </si>
  <si>
    <t>BCN Retail</t>
  </si>
  <si>
    <t>VN</t>
  </si>
  <si>
    <t>BCN Enterprise Technology Department</t>
  </si>
  <si>
    <t>BCN Enterprise Tech.</t>
  </si>
  <si>
    <t>BCN Enterprise Technology</t>
  </si>
  <si>
    <t>WH</t>
  </si>
  <si>
    <t>WI</t>
  </si>
  <si>
    <t>WJ</t>
  </si>
  <si>
    <t>WL</t>
  </si>
  <si>
    <t>BCN PEG EMEA Department</t>
  </si>
  <si>
    <t>BCN PEG EMEA</t>
  </si>
  <si>
    <t>WM</t>
  </si>
  <si>
    <t>BCN PEG APAC Department</t>
  </si>
  <si>
    <t>BCN PEG APAC</t>
  </si>
  <si>
    <t>XD</t>
  </si>
  <si>
    <t>BCN Performance Improvement Department</t>
  </si>
  <si>
    <t>BCN Perf. Imp.</t>
  </si>
  <si>
    <t>BCN Performance Improvement</t>
  </si>
  <si>
    <t>XJ</t>
  </si>
  <si>
    <t>BCN Commercial Excellence Coro Department</t>
  </si>
  <si>
    <t>BCN Comm. Exc. Coro</t>
  </si>
  <si>
    <t>BCN Commercial Excellence Coro</t>
  </si>
  <si>
    <t>XX_BCN</t>
  </si>
  <si>
    <t>BCN Department (History)</t>
  </si>
  <si>
    <t>BCN (History)</t>
  </si>
  <si>
    <t>RS</t>
  </si>
  <si>
    <t>BCN AMS Department</t>
  </si>
  <si>
    <t>BCN AMS</t>
  </si>
  <si>
    <t>SS</t>
  </si>
  <si>
    <t>BCN Sustainability Department</t>
  </si>
  <si>
    <t>BCN Sustainability</t>
  </si>
  <si>
    <t>NP</t>
  </si>
  <si>
    <t>NPS Prism Department</t>
  </si>
  <si>
    <t>NPS Prism Sub-Function</t>
  </si>
  <si>
    <t>Branded Service Line Function</t>
  </si>
  <si>
    <t>NPS Prism</t>
  </si>
  <si>
    <t>NPP</t>
  </si>
  <si>
    <t>BSL</t>
  </si>
  <si>
    <t>Branded Service Line</t>
  </si>
  <si>
    <t>A7</t>
  </si>
  <si>
    <t>Regional DEI Department</t>
  </si>
  <si>
    <t>Diversity, Equity and Inclusion Function</t>
  </si>
  <si>
    <t>A6</t>
  </si>
  <si>
    <t>DEI Learning and Development Department</t>
  </si>
  <si>
    <t>DEI COE Sub-Function</t>
  </si>
  <si>
    <t>GV</t>
  </si>
  <si>
    <t>DEI Strategy and Operations Department</t>
  </si>
  <si>
    <t>AE</t>
  </si>
  <si>
    <t>Executive/Manager Assistant Department</t>
  </si>
  <si>
    <t>Executive / Manager Assistant Function</t>
  </si>
  <si>
    <t>EA/MA</t>
  </si>
  <si>
    <t>Executive/Manager Assistant</t>
  </si>
  <si>
    <t>EM</t>
  </si>
  <si>
    <t>Executive / Manager Assistant</t>
  </si>
  <si>
    <t>RA</t>
  </si>
  <si>
    <t>Regional Executive/Manager Assistant Department</t>
  </si>
  <si>
    <t>Regional EA/MA</t>
  </si>
  <si>
    <t>Regional Executive/Manager Assistant</t>
  </si>
  <si>
    <t>AD</t>
  </si>
  <si>
    <t>Advisor Department</t>
  </si>
  <si>
    <t>General Consulting Sub-Function</t>
  </si>
  <si>
    <t>General Consulting Function</t>
  </si>
  <si>
    <t>Advisor</t>
  </si>
  <si>
    <t>NEW_GC_SUB</t>
  </si>
  <si>
    <t>Gen. Cons.</t>
  </si>
  <si>
    <t>General Consulting</t>
  </si>
  <si>
    <t>F1</t>
  </si>
  <si>
    <t>Advisors</t>
  </si>
  <si>
    <t>Gen Cons.</t>
  </si>
  <si>
    <t>AP</t>
  </si>
  <si>
    <t>Advisory Partner Department</t>
  </si>
  <si>
    <t>Advisory Partner</t>
  </si>
  <si>
    <t>BM</t>
  </si>
  <si>
    <t>Print &amp; Online Media Department</t>
  </si>
  <si>
    <t>Marketing Function</t>
  </si>
  <si>
    <t>Print &amp; Online Media</t>
  </si>
  <si>
    <t>F10</t>
  </si>
  <si>
    <t>Marketing</t>
  </si>
  <si>
    <t>CC</t>
  </si>
  <si>
    <t>Practice Marketing Department</t>
  </si>
  <si>
    <t>Practice &amp; Account Marketing Sub-Function</t>
  </si>
  <si>
    <t>Practice Marketing</t>
  </si>
  <si>
    <t>AD_SUB</t>
  </si>
  <si>
    <t>Practice &amp; Acct Marketing</t>
  </si>
  <si>
    <t>Practice &amp; Account Marketing</t>
  </si>
  <si>
    <t>CD</t>
  </si>
  <si>
    <t>Global Marketing Services Department</t>
  </si>
  <si>
    <t>Global Marketing Services</t>
  </si>
  <si>
    <t>IM</t>
  </si>
  <si>
    <t>OD</t>
  </si>
  <si>
    <t>Marketing Strategy and Operations Department</t>
  </si>
  <si>
    <t>Marketing Strategy and Operations</t>
  </si>
  <si>
    <t>R0</t>
  </si>
  <si>
    <t>Account Marketing Department</t>
  </si>
  <si>
    <t>Account Marketing</t>
  </si>
  <si>
    <t>XX_MAR</t>
  </si>
  <si>
    <t>Marketing (History)</t>
  </si>
  <si>
    <t>AY</t>
  </si>
  <si>
    <t>Employer Branding Department</t>
  </si>
  <si>
    <t>Brand Studio Sub-Function</t>
  </si>
  <si>
    <t>Employer Branding</t>
  </si>
  <si>
    <t>BA_SUB</t>
  </si>
  <si>
    <t>Brand Studio</t>
  </si>
  <si>
    <t>AZ</t>
  </si>
  <si>
    <t>Video Department</t>
  </si>
  <si>
    <t>Video</t>
  </si>
  <si>
    <t>DS</t>
  </si>
  <si>
    <t>Brand Department</t>
  </si>
  <si>
    <t>IC</t>
  </si>
  <si>
    <t>Internal Communications Department</t>
  </si>
  <si>
    <t>Internal Comms</t>
  </si>
  <si>
    <t>Internal Communications</t>
  </si>
  <si>
    <t>WF</t>
  </si>
  <si>
    <t>Brand Design Department</t>
  </si>
  <si>
    <t>Brand Design</t>
  </si>
  <si>
    <t>WG</t>
  </si>
  <si>
    <t>Brand Management &amp; Operations Department</t>
  </si>
  <si>
    <t>Brand Mgmt. &amp; Ops</t>
  </si>
  <si>
    <t>Brand Management &amp; Operations</t>
  </si>
  <si>
    <t>BG</t>
  </si>
  <si>
    <t>AMER Creative Services Department</t>
  </si>
  <si>
    <t>Creative Services Sub-Function</t>
  </si>
  <si>
    <t>AMER Creative Services</t>
  </si>
  <si>
    <t>CS_SUB</t>
  </si>
  <si>
    <t>Creative Services</t>
  </si>
  <si>
    <t>BJ</t>
  </si>
  <si>
    <t>APAC Creative Services Department</t>
  </si>
  <si>
    <t>APAC Creative Services</t>
  </si>
  <si>
    <t>BK</t>
  </si>
  <si>
    <t>EMEA Creative Services Department</t>
  </si>
  <si>
    <t>EMEA Creative Services</t>
  </si>
  <si>
    <t>XA</t>
  </si>
  <si>
    <t>Operations Creative Services Department</t>
  </si>
  <si>
    <t>Operations Creative Services</t>
  </si>
  <si>
    <t>XX_CS</t>
  </si>
  <si>
    <t>Creative Services (History)</t>
  </si>
  <si>
    <t>BL</t>
  </si>
  <si>
    <t>Digital Campaigns Department</t>
  </si>
  <si>
    <t>Digital Marketing Sub-Function</t>
  </si>
  <si>
    <t>Digital Campaigns</t>
  </si>
  <si>
    <t>DM_SUB</t>
  </si>
  <si>
    <t>Digital Marketing</t>
  </si>
  <si>
    <t>BO</t>
  </si>
  <si>
    <t>Digital Foundations Department</t>
  </si>
  <si>
    <t>Digital Foundations</t>
  </si>
  <si>
    <t>BQ</t>
  </si>
  <si>
    <t>Digital Mailings Department</t>
  </si>
  <si>
    <t>Digital Mailings</t>
  </si>
  <si>
    <t>M1</t>
  </si>
  <si>
    <t>Digital Marketing Department</t>
  </si>
  <si>
    <t>WK</t>
  </si>
  <si>
    <t>Marketing Analytics Department</t>
  </si>
  <si>
    <t>Marketing Analytics</t>
  </si>
  <si>
    <t>CI</t>
  </si>
  <si>
    <t>Corporate Affairs Department</t>
  </si>
  <si>
    <t>External Affairs Sub-Function</t>
  </si>
  <si>
    <t>EA_SUB</t>
  </si>
  <si>
    <t>External Affairs</t>
  </si>
  <si>
    <t>CX</t>
  </si>
  <si>
    <t>Marketing Events Department</t>
  </si>
  <si>
    <t>Marketing Events</t>
  </si>
  <si>
    <t>PB</t>
  </si>
  <si>
    <t>Public Relations and External Communications Department</t>
  </si>
  <si>
    <t>Public Relations and External Communications</t>
  </si>
  <si>
    <t>ED</t>
  </si>
  <si>
    <t>Editorial Department</t>
  </si>
  <si>
    <t>Editorial Sub-Function</t>
  </si>
  <si>
    <t>Editorial</t>
  </si>
  <si>
    <t>ED_SUB</t>
  </si>
  <si>
    <t>WN</t>
  </si>
  <si>
    <t>Practice &amp; Commercial Editors Department</t>
  </si>
  <si>
    <t>Practice &amp; Commercial Editors</t>
  </si>
  <si>
    <t>WZ</t>
  </si>
  <si>
    <t>QC &amp; Production Department</t>
  </si>
  <si>
    <t>QC &amp; Production</t>
  </si>
  <si>
    <t>EX</t>
  </si>
  <si>
    <t>EMEA Market Reputation Department</t>
  </si>
  <si>
    <t>Market Reputation Sub-Function</t>
  </si>
  <si>
    <t>EMEA Market Reputation</t>
  </si>
  <si>
    <t>MR_SUB</t>
  </si>
  <si>
    <t>Market Reputation</t>
  </si>
  <si>
    <t>MX</t>
  </si>
  <si>
    <t>APAC Market Reputation Department</t>
  </si>
  <si>
    <t>APAC Market Reputation</t>
  </si>
  <si>
    <t>PR</t>
  </si>
  <si>
    <t>Americas Market Reputation Department</t>
  </si>
  <si>
    <t>Americas Market Reputation</t>
  </si>
  <si>
    <t>RK</t>
  </si>
  <si>
    <t>Relationship Marketing Department</t>
  </si>
  <si>
    <t>Relationship Marketing Sub-Function</t>
  </si>
  <si>
    <t>Relationship Marketing</t>
  </si>
  <si>
    <t>RM_SUB</t>
  </si>
  <si>
    <t>Market Reputation Department</t>
  </si>
  <si>
    <t>10</t>
  </si>
  <si>
    <t>Partner Department</t>
  </si>
  <si>
    <t>Partner</t>
  </si>
  <si>
    <t>F12</t>
  </si>
  <si>
    <t>PO</t>
  </si>
  <si>
    <t>PPK Strategy and Operations Department</t>
  </si>
  <si>
    <t>Product, Practice &amp; Knowledge Function</t>
  </si>
  <si>
    <t>PPK Strategy and Ops</t>
  </si>
  <si>
    <t>PPK Strategy and Operations</t>
  </si>
  <si>
    <t>F15</t>
  </si>
  <si>
    <t>PPK</t>
  </si>
  <si>
    <t>Product, Practice &amp; Knowledge</t>
  </si>
  <si>
    <t>XX_PPK2</t>
  </si>
  <si>
    <t>PPK Leadership (History)</t>
  </si>
  <si>
    <t>BS</t>
  </si>
  <si>
    <t>PPK Program Management Department</t>
  </si>
  <si>
    <t>PPK Program Office Sub-Function</t>
  </si>
  <si>
    <t>PP_SUB</t>
  </si>
  <si>
    <t>PPK Program Office</t>
  </si>
  <si>
    <t>K1</t>
  </si>
  <si>
    <t>KM</t>
  </si>
  <si>
    <t>WV</t>
  </si>
  <si>
    <t>Transformation Office Department</t>
  </si>
  <si>
    <t>Trans. Office</t>
  </si>
  <si>
    <t>Transformation Office</t>
  </si>
  <si>
    <t>WW</t>
  </si>
  <si>
    <t>Knowledge Curation &amp; Support CoE Department</t>
  </si>
  <si>
    <t>Knowledge Curation &amp; Support CoE</t>
  </si>
  <si>
    <t>AN</t>
  </si>
  <si>
    <t>Practice Teams Sub-Function</t>
  </si>
  <si>
    <t>SP_SUB</t>
  </si>
  <si>
    <t>Practice Teams</t>
  </si>
  <si>
    <t>BN</t>
  </si>
  <si>
    <t>D1</t>
  </si>
  <si>
    <t>Telecommunications-Media-Technology Practice Department</t>
  </si>
  <si>
    <t>TMT Practice</t>
  </si>
  <si>
    <t>D2</t>
  </si>
  <si>
    <t>Private Equity Practice Department</t>
  </si>
  <si>
    <t>PEG Practice</t>
  </si>
  <si>
    <t>Private Equity Practice</t>
  </si>
  <si>
    <t>D3</t>
  </si>
  <si>
    <t>Advanced Manufacturing and Energy &amp; Natural Resources Practice Department</t>
  </si>
  <si>
    <t>AMS ENR Practice</t>
  </si>
  <si>
    <t>Advanced Manufacturing and Energy &amp; Natural Resources Practice</t>
  </si>
  <si>
    <t>D4</t>
  </si>
  <si>
    <t>Oil &amp; Gas Practice Department</t>
  </si>
  <si>
    <t>D5</t>
  </si>
  <si>
    <t>Healthcare &amp; Life Sciences Practice Department</t>
  </si>
  <si>
    <t>HC &amp; Life Sciences Practice</t>
  </si>
  <si>
    <t>Healthcare &amp; Life Sciences Practice</t>
  </si>
  <si>
    <t>D6</t>
  </si>
  <si>
    <t>Financial Services Practice Department</t>
  </si>
  <si>
    <t>FS Practice</t>
  </si>
  <si>
    <t>Financial Services Practice</t>
  </si>
  <si>
    <t>D8</t>
  </si>
  <si>
    <t>Social Impact Practice Department</t>
  </si>
  <si>
    <t>Social Impact Practice</t>
  </si>
  <si>
    <t>DC</t>
  </si>
  <si>
    <t>Customer Practice Department</t>
  </si>
  <si>
    <t>Customer Practice</t>
  </si>
  <si>
    <t>E1</t>
  </si>
  <si>
    <t>Advanced Manufacturing and Services Practice Department</t>
  </si>
  <si>
    <t>AMS Practice</t>
  </si>
  <si>
    <t>Advanced Manufacturing and Services Practice</t>
  </si>
  <si>
    <t>E2</t>
  </si>
  <si>
    <t>Energy &amp; Natural Resources Practice Department</t>
  </si>
  <si>
    <t>ENR Practice</t>
  </si>
  <si>
    <t>Energy &amp; Natural Resources Practice</t>
  </si>
  <si>
    <t>E3</t>
  </si>
  <si>
    <t>Retail Practice Department</t>
  </si>
  <si>
    <t>Retail Practice</t>
  </si>
  <si>
    <t>E4</t>
  </si>
  <si>
    <t>Consumer Products Practice Department</t>
  </si>
  <si>
    <t>CP Practice</t>
  </si>
  <si>
    <t>Consumer Products Practice</t>
  </si>
  <si>
    <t>E5</t>
  </si>
  <si>
    <t>E6</t>
  </si>
  <si>
    <t>E7</t>
  </si>
  <si>
    <t>FC</t>
  </si>
  <si>
    <t>GK</t>
  </si>
  <si>
    <t>General Knowledge Management Department</t>
  </si>
  <si>
    <t>Knowledge Mgmt.</t>
  </si>
  <si>
    <t>General Knowledge Management</t>
  </si>
  <si>
    <t>IG</t>
  </si>
  <si>
    <t>Core Innovation Team Department</t>
  </si>
  <si>
    <t>Core Innovation Team</t>
  </si>
  <si>
    <t>IV</t>
  </si>
  <si>
    <t>P1</t>
  </si>
  <si>
    <t>Strategy Practice Department</t>
  </si>
  <si>
    <t>P2</t>
  </si>
  <si>
    <t>Performance Improvement Practice Department</t>
  </si>
  <si>
    <t>PI Practice</t>
  </si>
  <si>
    <t>Performance Improvement Practice</t>
  </si>
  <si>
    <t>P3</t>
  </si>
  <si>
    <t>Organization Practice Department</t>
  </si>
  <si>
    <t>Org Practice</t>
  </si>
  <si>
    <t>Organization Practice</t>
  </si>
  <si>
    <t>P4</t>
  </si>
  <si>
    <t>Enterprise Technology Practice Department</t>
  </si>
  <si>
    <t>ET Practice</t>
  </si>
  <si>
    <t>Enterprise Technology Practice</t>
  </si>
  <si>
    <t>P5</t>
  </si>
  <si>
    <t>Mergers &amp; Acquisitions Practice Department</t>
  </si>
  <si>
    <t>M&amp;A Practice</t>
  </si>
  <si>
    <t>Mergers &amp; Acquisitions Practice</t>
  </si>
  <si>
    <t>P7</t>
  </si>
  <si>
    <t>Consumer Products &amp; Retail Practice Department</t>
  </si>
  <si>
    <t>CP &amp; Retail Practice</t>
  </si>
  <si>
    <t>Consumer Products &amp; Retail Practice</t>
  </si>
  <si>
    <t>P8</t>
  </si>
  <si>
    <t>Vector Digital Practice Department</t>
  </si>
  <si>
    <t>Vector Digital Practice</t>
  </si>
  <si>
    <t>PK</t>
  </si>
  <si>
    <t>Product, Practice &amp; Knowledge Department</t>
  </si>
  <si>
    <t>SR</t>
  </si>
  <si>
    <t>Sustainability &amp; Responsibility Practice Department</t>
  </si>
  <si>
    <t>XX_PPK</t>
  </si>
  <si>
    <t>PPK Practice Team (History)</t>
  </si>
  <si>
    <t>A8</t>
  </si>
  <si>
    <t>Software and Data Commercialization Department</t>
  </si>
  <si>
    <t>Engine 2 Function</t>
  </si>
  <si>
    <t>Software &amp; Data Comm.</t>
  </si>
  <si>
    <t>Software and Data Commercialization</t>
  </si>
  <si>
    <t>F16</t>
  </si>
  <si>
    <t>Engine 2</t>
  </si>
  <si>
    <t>EO</t>
  </si>
  <si>
    <t>Engine 2 Strategy &amp; Operations Department</t>
  </si>
  <si>
    <t>E2 Strategy &amp; Ops</t>
  </si>
  <si>
    <t>Engine 2 Strategy &amp; Operations</t>
  </si>
  <si>
    <t>VD</t>
  </si>
  <si>
    <t>Venture Development Department</t>
  </si>
  <si>
    <t>Venture Development</t>
  </si>
  <si>
    <t>BU</t>
  </si>
  <si>
    <t>TSG Business Process Enablement Department</t>
  </si>
  <si>
    <t>TSG Sub-Function</t>
  </si>
  <si>
    <t>TSG BPE</t>
  </si>
  <si>
    <t>TSG Business Process Enablement</t>
  </si>
  <si>
    <t>MI_SUB</t>
  </si>
  <si>
    <t>TSG</t>
  </si>
  <si>
    <t>F18</t>
  </si>
  <si>
    <t>KT</t>
  </si>
  <si>
    <t>MF</t>
  </si>
  <si>
    <t>TSG Infrastructure Department</t>
  </si>
  <si>
    <t>TSG Infrastructure</t>
  </si>
  <si>
    <t>MP</t>
  </si>
  <si>
    <t>MQ</t>
  </si>
  <si>
    <t>TSG Digital Workplace Experience Department</t>
  </si>
  <si>
    <t>TSG Digital Workplace Exp.</t>
  </si>
  <si>
    <t>TSG Digital Workplace Experience</t>
  </si>
  <si>
    <t>MS</t>
  </si>
  <si>
    <t>MT</t>
  </si>
  <si>
    <t>OC</t>
  </si>
  <si>
    <t>TC</t>
  </si>
  <si>
    <t>TSG Information Security Department</t>
  </si>
  <si>
    <t>TSG IS</t>
  </si>
  <si>
    <t>TSG Information Security</t>
  </si>
  <si>
    <t>TE</t>
  </si>
  <si>
    <t>TP</t>
  </si>
  <si>
    <t>Technology Innovation Pipeline Department</t>
  </si>
  <si>
    <t>Tech Innovation Pipeline</t>
  </si>
  <si>
    <t>Technology Innovation Pipeline</t>
  </si>
  <si>
    <t>G1</t>
  </si>
  <si>
    <t>Next Generation Customer Success and Operations Department</t>
  </si>
  <si>
    <t>Next Generation Software Solutions Sub-Function</t>
  </si>
  <si>
    <t>Next Gen Ops</t>
  </si>
  <si>
    <t>Next Generation Customer Success and Operations</t>
  </si>
  <si>
    <t>NG_SUB</t>
  </si>
  <si>
    <t>Next Gen</t>
  </si>
  <si>
    <t>Next Generation Software Solutions</t>
  </si>
  <si>
    <t>G2</t>
  </si>
  <si>
    <t>G3</t>
  </si>
  <si>
    <t>Next Generation Engineering and Innovation Department</t>
  </si>
  <si>
    <t>Next Gen Engineering and Innovation</t>
  </si>
  <si>
    <t>Next Generation Engineering and Innovation</t>
  </si>
  <si>
    <t>G4</t>
  </si>
  <si>
    <t>G5</t>
  </si>
  <si>
    <t>G6</t>
  </si>
  <si>
    <t>G7</t>
  </si>
  <si>
    <t>AG</t>
  </si>
  <si>
    <t>Customer Affiliate Department</t>
  </si>
  <si>
    <t>Dedicated Affiliate Sub-Function</t>
  </si>
  <si>
    <t>Customer Affiliate</t>
  </si>
  <si>
    <t>DA_SUB</t>
  </si>
  <si>
    <t>Dedicated Affiliate</t>
  </si>
  <si>
    <t>F2</t>
  </si>
  <si>
    <t>Consulting</t>
  </si>
  <si>
    <t>AV</t>
  </si>
  <si>
    <t>Enterprise Technology Affiliate Department</t>
  </si>
  <si>
    <t>ET Affiliate</t>
  </si>
  <si>
    <t>Enterprise Technology Affiliate</t>
  </si>
  <si>
    <t>CK</t>
  </si>
  <si>
    <t>Performance Improvement Affiliate Department</t>
  </si>
  <si>
    <t>PI Affiliate</t>
  </si>
  <si>
    <t>Performance Improvement Affiliate</t>
  </si>
  <si>
    <t>L2</t>
  </si>
  <si>
    <t>Customer Expert Consulting Department</t>
  </si>
  <si>
    <t>Expert Consulting Sub-Function</t>
  </si>
  <si>
    <t>Expert/Specialist Consulting Function</t>
  </si>
  <si>
    <t>Customer Expert Consulting</t>
  </si>
  <si>
    <t>EC_SUB</t>
  </si>
  <si>
    <t>Expert Cons.</t>
  </si>
  <si>
    <t>Expert Consulting</t>
  </si>
  <si>
    <t>Expert/Spec. Cons.</t>
  </si>
  <si>
    <t>Expert/Specialist Consulting</t>
  </si>
  <si>
    <t>L3</t>
  </si>
  <si>
    <t>Energy &amp; Natural Resources Expert Consulting Department</t>
  </si>
  <si>
    <t>Energy &amp; Natural Resources Expert Consulting</t>
  </si>
  <si>
    <t>L4</t>
  </si>
  <si>
    <t>Enterprise Technology Expert Consulting Department</t>
  </si>
  <si>
    <t>Enterprise Technology Expert Consulting</t>
  </si>
  <si>
    <t>L5</t>
  </si>
  <si>
    <t>Financial Services Expert Consulting Department</t>
  </si>
  <si>
    <t>Financial Services Expert Consulting</t>
  </si>
  <si>
    <t>L6</t>
  </si>
  <si>
    <t>Advanced Analytics Expert Consulting Department</t>
  </si>
  <si>
    <t>Advanced Analytics Expert Consulting</t>
  </si>
  <si>
    <t>L7</t>
  </si>
  <si>
    <t>Advanced Manufacturing &amp; Services Expert Consulting Department</t>
  </si>
  <si>
    <t>Advanced Manufacturing &amp; Services Expert Consulting</t>
  </si>
  <si>
    <t>L8</t>
  </si>
  <si>
    <t>Communications, Media, and Entertainment Expert Consulting Department</t>
  </si>
  <si>
    <t>Communications, Media, and Entertainment Expert Consulting</t>
  </si>
  <si>
    <t>L9</t>
  </si>
  <si>
    <t>Consumer Products Expert Consulting Department</t>
  </si>
  <si>
    <t>Consumer Products Expert Consulting</t>
  </si>
  <si>
    <t>M2</t>
  </si>
  <si>
    <t>Healthcare Expert Consulting Department</t>
  </si>
  <si>
    <t>M3</t>
  </si>
  <si>
    <t>Mergers &amp; Acquisition Expert Consulting Department</t>
  </si>
  <si>
    <t>Mergers &amp; Acquisition Expert Consulting</t>
  </si>
  <si>
    <t>M4</t>
  </si>
  <si>
    <t>Organization Expert Consulting Department</t>
  </si>
  <si>
    <t>M5</t>
  </si>
  <si>
    <t>Performance Improvement Expert Consulting Department</t>
  </si>
  <si>
    <t>Performance Improvement Expert Consulting</t>
  </si>
  <si>
    <t>M6</t>
  </si>
  <si>
    <t>Private Equity Expert Consulting Department</t>
  </si>
  <si>
    <t>Private Equity Expert Consulting</t>
  </si>
  <si>
    <t>M7</t>
  </si>
  <si>
    <t>Retail Expert Consulting Department</t>
  </si>
  <si>
    <t>Retail Expert Consulting</t>
  </si>
  <si>
    <t>M8</t>
  </si>
  <si>
    <t>Social Impact Expert Consulting Department</t>
  </si>
  <si>
    <t>Social Impact Expert Consulting</t>
  </si>
  <si>
    <t>N1</t>
  </si>
  <si>
    <t>Strategy Expert Consulting Department</t>
  </si>
  <si>
    <t>N2</t>
  </si>
  <si>
    <t>Sustainability &amp; Corporate Responsibility Expert Consulting Department</t>
  </si>
  <si>
    <t>N3</t>
  </si>
  <si>
    <t>Technology &amp; Cloud Services Expert Consulting Department</t>
  </si>
  <si>
    <t>Technology &amp; Cloud Services Expert Consulting</t>
  </si>
  <si>
    <t>N4</t>
  </si>
  <si>
    <t>Transformation &amp; Change Expert Consulting Department</t>
  </si>
  <si>
    <t>PJ</t>
  </si>
  <si>
    <t>Expert Consulting Department</t>
  </si>
  <si>
    <t>40</t>
  </si>
  <si>
    <t>Consulting Department</t>
  </si>
  <si>
    <t>PL</t>
  </si>
  <si>
    <t>Specialist Consulting Department</t>
  </si>
  <si>
    <t>Specialist Consulting Sub-Function</t>
  </si>
  <si>
    <t>Specialist Cons.</t>
  </si>
  <si>
    <t>Specialist Consulting</t>
  </si>
  <si>
    <t>SC_SUB</t>
  </si>
  <si>
    <t>LF</t>
  </si>
  <si>
    <t>Local Finance Department</t>
  </si>
  <si>
    <t>Finance Function</t>
  </si>
  <si>
    <t>Local Finance</t>
  </si>
  <si>
    <t>F3</t>
  </si>
  <si>
    <t>Finance</t>
  </si>
  <si>
    <t>XX_FIN</t>
  </si>
  <si>
    <t>Finance (History)</t>
  </si>
  <si>
    <t>AF</t>
  </si>
  <si>
    <t>APAC Finance Department</t>
  </si>
  <si>
    <t>APAC Finance Sub-Function</t>
  </si>
  <si>
    <t>APAC Finance</t>
  </si>
  <si>
    <t>AF_SUB</t>
  </si>
  <si>
    <t>AH</t>
  </si>
  <si>
    <t>APAC Local Finance Department</t>
  </si>
  <si>
    <t>APAC Local Finance</t>
  </si>
  <si>
    <t>DQ</t>
  </si>
  <si>
    <t>EMEA Local Finance Department</t>
  </si>
  <si>
    <t>EMEA Finance Sub-Function</t>
  </si>
  <si>
    <t>EMEA Local Finance</t>
  </si>
  <si>
    <t>EF_SUB</t>
  </si>
  <si>
    <t>EMEA Finance</t>
  </si>
  <si>
    <t>EF</t>
  </si>
  <si>
    <t>EMEA Finance Department</t>
  </si>
  <si>
    <t>A1</t>
  </si>
  <si>
    <t>Americas AP/T&amp;E Department</t>
  </si>
  <si>
    <t>Global Finance Sub-Function</t>
  </si>
  <si>
    <t>AMER AP/T&amp;E</t>
  </si>
  <si>
    <t>Americas AP/T&amp;E</t>
  </si>
  <si>
    <t>GF_SUB</t>
  </si>
  <si>
    <t>Global Finance</t>
  </si>
  <si>
    <t>A4</t>
  </si>
  <si>
    <t>Americas Payroll Department</t>
  </si>
  <si>
    <t>AMER Payroll</t>
  </si>
  <si>
    <t>Americas Payroll</t>
  </si>
  <si>
    <t>AB</t>
  </si>
  <si>
    <t>APAC AP/T&amp;E Department</t>
  </si>
  <si>
    <t>APAC AP/T&amp;E</t>
  </si>
  <si>
    <t>DG</t>
  </si>
  <si>
    <t>Global Corporate Card Department</t>
  </si>
  <si>
    <t>DU</t>
  </si>
  <si>
    <t>Global Procurement Department</t>
  </si>
  <si>
    <t>Global Proc.</t>
  </si>
  <si>
    <t>Global Procurement</t>
  </si>
  <si>
    <t>DV</t>
  </si>
  <si>
    <t>Accounting Transformation Department</t>
  </si>
  <si>
    <t>Accounting Trans.</t>
  </si>
  <si>
    <t>Accounting Transformation</t>
  </si>
  <si>
    <t>EA</t>
  </si>
  <si>
    <t>EMEA AP/T&amp;E Department</t>
  </si>
  <si>
    <t>EMEA AP/T&amp;E</t>
  </si>
  <si>
    <t>GA</t>
  </si>
  <si>
    <t>Global Financial Accounting Department</t>
  </si>
  <si>
    <t>Global Fin Accounting</t>
  </si>
  <si>
    <t>Global Financial Accounting</t>
  </si>
  <si>
    <t>GO</t>
  </si>
  <si>
    <t>Global Sustainability Department</t>
  </si>
  <si>
    <t>Global Sustainability</t>
  </si>
  <si>
    <t>GS</t>
  </si>
  <si>
    <t>Global Financial Systems Department</t>
  </si>
  <si>
    <t>Global Financial Systems</t>
  </si>
  <si>
    <t>GT</t>
  </si>
  <si>
    <t>Global Financial Planning &amp; Analysis Department</t>
  </si>
  <si>
    <t>Global FP&amp;A</t>
  </si>
  <si>
    <t>Global Financial Planning &amp; Analysis</t>
  </si>
  <si>
    <t>GX</t>
  </si>
  <si>
    <t>Global Tax Department</t>
  </si>
  <si>
    <t>Global Tax</t>
  </si>
  <si>
    <t>GY</t>
  </si>
  <si>
    <t>Global Payroll Department</t>
  </si>
  <si>
    <t>Global Payroll</t>
  </si>
  <si>
    <t>IS</t>
  </si>
  <si>
    <t>Investment Services Department</t>
  </si>
  <si>
    <t>Investment Services</t>
  </si>
  <si>
    <t>TG</t>
  </si>
  <si>
    <t>Global Treasury Department</t>
  </si>
  <si>
    <t>Global Treasury</t>
  </si>
  <si>
    <t>A2</t>
  </si>
  <si>
    <t>Americas Financial Planning &amp; Analysis Department</t>
  </si>
  <si>
    <t>Americas Finance Sub-Function</t>
  </si>
  <si>
    <t>AMER FP&amp;A</t>
  </si>
  <si>
    <t>Americas Financial Planning &amp; Analysis</t>
  </si>
  <si>
    <t>RF_SUB</t>
  </si>
  <si>
    <t>AMER Finance</t>
  </si>
  <si>
    <t>Americas Finance</t>
  </si>
  <si>
    <t>A3</t>
  </si>
  <si>
    <t>Americas Revenue &amp; Receivables Department</t>
  </si>
  <si>
    <t>AMER R&amp;R</t>
  </si>
  <si>
    <t>Americas Revenue &amp; Receivables</t>
  </si>
  <si>
    <t>A5</t>
  </si>
  <si>
    <t>Americas Finance Leadership Department</t>
  </si>
  <si>
    <t>AMER Finance LT</t>
  </si>
  <si>
    <t>Americas Finance Leadership</t>
  </si>
  <si>
    <t>A9</t>
  </si>
  <si>
    <t>Americas Local Finance Department</t>
  </si>
  <si>
    <t>AMER Local Finance</t>
  </si>
  <si>
    <t>Americas Local Finance</t>
  </si>
  <si>
    <t>VB</t>
  </si>
  <si>
    <t>APAC GBS Finance Department</t>
  </si>
  <si>
    <t>GBS Finance Sub-Function</t>
  </si>
  <si>
    <t>APAC GBS Finance</t>
  </si>
  <si>
    <t>SS_SUB</t>
  </si>
  <si>
    <t>GBS Finance</t>
  </si>
  <si>
    <t>VE</t>
  </si>
  <si>
    <t>EMEA GBS Finance Department</t>
  </si>
  <si>
    <t>EMEA GBS Finance</t>
  </si>
  <si>
    <t>AM</t>
  </si>
  <si>
    <t>Global Mergers &amp; Acquisitions Department</t>
  </si>
  <si>
    <t>Global Operations Sub-Function</t>
  </si>
  <si>
    <t>Operations Function</t>
  </si>
  <si>
    <t>Global M&amp;A</t>
  </si>
  <si>
    <t>Global Mergers &amp; Acquisitions</t>
  </si>
  <si>
    <t>GO_SUB</t>
  </si>
  <si>
    <t>Global Ops</t>
  </si>
  <si>
    <t>Global Operations</t>
  </si>
  <si>
    <t>F4</t>
  </si>
  <si>
    <t>Ops</t>
  </si>
  <si>
    <t>Operations</t>
  </si>
  <si>
    <t>EG</t>
  </si>
  <si>
    <t>Global Events Department</t>
  </si>
  <si>
    <t>Global Events</t>
  </si>
  <si>
    <t>ES</t>
  </si>
  <si>
    <t>Global Real Estate Department</t>
  </si>
  <si>
    <t>Global Real Estate</t>
  </si>
  <si>
    <t>GE</t>
  </si>
  <si>
    <t>Global Business Services Department</t>
  </si>
  <si>
    <t>Global Business Services</t>
  </si>
  <si>
    <t>TR</t>
  </si>
  <si>
    <t>Global Travel Department</t>
  </si>
  <si>
    <t>Global Travel</t>
  </si>
  <si>
    <t>XX_GO</t>
  </si>
  <si>
    <t>Global Operations (History)</t>
  </si>
  <si>
    <t>Global Ops (History)</t>
  </si>
  <si>
    <t>AS</t>
  </si>
  <si>
    <t>Consulting Support/Case Team Assistant Department</t>
  </si>
  <si>
    <t>Local Operations Sub-Function</t>
  </si>
  <si>
    <t>Case Team Assistant</t>
  </si>
  <si>
    <t>Consulting Support/Case Team Assistant</t>
  </si>
  <si>
    <t>LO_SUB</t>
  </si>
  <si>
    <t>Local Ops</t>
  </si>
  <si>
    <t>Local Operations</t>
  </si>
  <si>
    <t>FA</t>
  </si>
  <si>
    <t>Facilities Department</t>
  </si>
  <si>
    <t>Facilities</t>
  </si>
  <si>
    <t>MC</t>
  </si>
  <si>
    <t>Reception Department</t>
  </si>
  <si>
    <t>Reception</t>
  </si>
  <si>
    <t>LG</t>
  </si>
  <si>
    <t>Legal &amp; Professional Standards Department</t>
  </si>
  <si>
    <t>Legal Function</t>
  </si>
  <si>
    <t>Legal &amp; PS</t>
  </si>
  <si>
    <t>Legal &amp; Professional Standards</t>
  </si>
  <si>
    <t>F7</t>
  </si>
  <si>
    <t>Legal</t>
  </si>
  <si>
    <t>AJ</t>
  </si>
  <si>
    <t>Central Legal Department</t>
  </si>
  <si>
    <t>Global Legal Services Sub-Function</t>
  </si>
  <si>
    <t>Central Legal</t>
  </si>
  <si>
    <t>GS_SUB</t>
  </si>
  <si>
    <t>Global Legal Services</t>
  </si>
  <si>
    <t>AK</t>
  </si>
  <si>
    <t>Employment Law Department</t>
  </si>
  <si>
    <t>Employment Law</t>
  </si>
  <si>
    <t>AO</t>
  </si>
  <si>
    <t>AMER Legal Services Department</t>
  </si>
  <si>
    <t>Regional Legal Services Sub-Function</t>
  </si>
  <si>
    <t>AMER Legal Services</t>
  </si>
  <si>
    <t>RL_SUB</t>
  </si>
  <si>
    <t>Reg. Legal Services</t>
  </si>
  <si>
    <t>Regional Legal Services</t>
  </si>
  <si>
    <t>AQ</t>
  </si>
  <si>
    <t>APAC Legal Services Department</t>
  </si>
  <si>
    <t>APAC Legal Services</t>
  </si>
  <si>
    <t>AW</t>
  </si>
  <si>
    <t>EMEA Legal Services Department</t>
  </si>
  <si>
    <t>EMEA Legal Services</t>
  </si>
  <si>
    <t>XX_UNK</t>
  </si>
  <si>
    <t>Unknown Department</t>
  </si>
  <si>
    <t>Unknown Function</t>
  </si>
  <si>
    <t>Unknown</t>
  </si>
  <si>
    <t>FUN_UNK</t>
  </si>
  <si>
    <t>Misc.</t>
  </si>
  <si>
    <t>Miscellaneous</t>
  </si>
  <si>
    <t>GI</t>
  </si>
  <si>
    <t>Global Risk Department</t>
  </si>
  <si>
    <t>Global/Regional Leadership Function</t>
  </si>
  <si>
    <t>Global Risk</t>
  </si>
  <si>
    <t>GD</t>
  </si>
  <si>
    <t>G/R Leadership</t>
  </si>
  <si>
    <t>Global/Regional Leadership</t>
  </si>
  <si>
    <t>MD</t>
  </si>
  <si>
    <t>Office of the WWMP Department</t>
  </si>
  <si>
    <t>Office of the WWMP</t>
  </si>
  <si>
    <t>NW</t>
  </si>
  <si>
    <t>New Ways of Working Department</t>
  </si>
  <si>
    <t>NWOW</t>
  </si>
  <si>
    <t>New Ways of Working</t>
  </si>
  <si>
    <t>RD</t>
  </si>
  <si>
    <t>Office of the RMP Department</t>
  </si>
  <si>
    <t>Office of the RMP</t>
  </si>
  <si>
    <t>CU</t>
  </si>
  <si>
    <t>CRM Department</t>
  </si>
  <si>
    <t>Global Commercial Operations Sub-Function</t>
  </si>
  <si>
    <t>CRM</t>
  </si>
  <si>
    <t>GC_SUB</t>
  </si>
  <si>
    <t>Commercial Ops</t>
  </si>
  <si>
    <t>Global Commercial Operations</t>
  </si>
  <si>
    <t>CZ</t>
  </si>
  <si>
    <t>Global Commercial Operations Department</t>
  </si>
  <si>
    <t>AX</t>
  </si>
  <si>
    <t>Bain Alumni Community Department</t>
  </si>
  <si>
    <t>Alumni and Client Talent Advisory Sub-Function</t>
  </si>
  <si>
    <t>Leadership Development Function</t>
  </si>
  <si>
    <t>BAC</t>
  </si>
  <si>
    <t>Bain Alumni Community</t>
  </si>
  <si>
    <t>AC_SUB</t>
  </si>
  <si>
    <t>Alumni and Client</t>
  </si>
  <si>
    <t>Alumni and Client Talent Advisory</t>
  </si>
  <si>
    <t>LD</t>
  </si>
  <si>
    <t>Leadership Dev.</t>
  </si>
  <si>
    <t>Leadership Development</t>
  </si>
  <si>
    <t>EN</t>
  </si>
  <si>
    <t>Bain Executive Network Department</t>
  </si>
  <si>
    <t>BEN</t>
  </si>
  <si>
    <t>Bain Executive Network</t>
  </si>
  <si>
    <t>H4</t>
  </si>
  <si>
    <t>Global Partner Services Department</t>
  </si>
  <si>
    <t>Global Partner Services &amp; Analysis Sub-Function</t>
  </si>
  <si>
    <t>Partner Services</t>
  </si>
  <si>
    <t>Global Partner Services</t>
  </si>
  <si>
    <t>LP_SUP</t>
  </si>
  <si>
    <t>Partner Services &amp; Analysis</t>
  </si>
  <si>
    <t>Global Partner Services &amp; Analysis</t>
  </si>
  <si>
    <t>PD</t>
  </si>
  <si>
    <t>Global Partner Analysis Department</t>
  </si>
  <si>
    <t>VG</t>
  </si>
  <si>
    <t>Partner Coaching Department</t>
  </si>
  <si>
    <t>XC</t>
  </si>
  <si>
    <t>Global Nominating Committee Department</t>
  </si>
  <si>
    <t>Global Nominating Committee</t>
  </si>
  <si>
    <t>VJ</t>
  </si>
  <si>
    <t>Global Talent Acquisition Transformation Department</t>
  </si>
  <si>
    <t>Talent Acquisition Function</t>
  </si>
  <si>
    <t>TA Transformation</t>
  </si>
  <si>
    <t>Global Talent Acquisition Transformation</t>
  </si>
  <si>
    <t>RE</t>
  </si>
  <si>
    <t>Talent Acquisition</t>
  </si>
  <si>
    <t>WO</t>
  </si>
  <si>
    <t>Talent Acquisition Sourcing Department</t>
  </si>
  <si>
    <t>Talent Acquisition CoE Sub-Function</t>
  </si>
  <si>
    <t>TA Sourcing</t>
  </si>
  <si>
    <t>Talent Acquisition Sourcing</t>
  </si>
  <si>
    <t>RC_SUB</t>
  </si>
  <si>
    <t>TA CoE</t>
  </si>
  <si>
    <t>Talent Acquisition CoE</t>
  </si>
  <si>
    <t>WQ</t>
  </si>
  <si>
    <t>Talent Acquisition Shared Services Department</t>
  </si>
  <si>
    <t>TA Shared Services</t>
  </si>
  <si>
    <t>Talent Acquisition Shared Services</t>
  </si>
  <si>
    <t>WR</t>
  </si>
  <si>
    <t>Recruiting Ops &amp; Systems Department</t>
  </si>
  <si>
    <t>Recruiting Ops &amp; Systems</t>
  </si>
  <si>
    <t>WT</t>
  </si>
  <si>
    <t>Global Talent Acquisition Marketing Department</t>
  </si>
  <si>
    <t>TA Marketing</t>
  </si>
  <si>
    <t>Global TA Marketing</t>
  </si>
  <si>
    <t>BV</t>
  </si>
  <si>
    <t>BCN Recruiting Department</t>
  </si>
  <si>
    <t>Talent Acquisition Teams Sub-Function</t>
  </si>
  <si>
    <t>BCN Recruiting</t>
  </si>
  <si>
    <t>RT_SUB</t>
  </si>
  <si>
    <t>TA Teams</t>
  </si>
  <si>
    <t>Talent Acquisition Teams</t>
  </si>
  <si>
    <t>BW</t>
  </si>
  <si>
    <t>GBS Recruiting Department</t>
  </si>
  <si>
    <t>BX</t>
  </si>
  <si>
    <t>AC Talent Acquisition Department</t>
  </si>
  <si>
    <t>GC</t>
  </si>
  <si>
    <t>Consultant Talent Acquisition Department</t>
  </si>
  <si>
    <t>Consultant TA</t>
  </si>
  <si>
    <t>Consultant Talent Acquisition</t>
  </si>
  <si>
    <t>HC</t>
  </si>
  <si>
    <t>LE</t>
  </si>
  <si>
    <t>Leadership Recruiting Department</t>
  </si>
  <si>
    <t>LR</t>
  </si>
  <si>
    <t>Leadership Recruiting</t>
  </si>
  <si>
    <t>Local Recruiting Department</t>
  </si>
  <si>
    <t>Local Recruiting</t>
  </si>
  <si>
    <t>TA</t>
  </si>
  <si>
    <t>Experienced Talent Recruiting Department</t>
  </si>
  <si>
    <t>ETR</t>
  </si>
  <si>
    <t>Experienced Talent Recruiting</t>
  </si>
  <si>
    <t>QC</t>
  </si>
  <si>
    <t>Qvartz Consulting Department</t>
  </si>
  <si>
    <t>Qvartz Sub-Function</t>
  </si>
  <si>
    <t>Service Line Consulting Function</t>
  </si>
  <si>
    <t>Qvartz Cons.</t>
  </si>
  <si>
    <t>Qvartz Consulting</t>
  </si>
  <si>
    <t>XX_QVA</t>
  </si>
  <si>
    <t>Qvartz</t>
  </si>
  <si>
    <t>SL</t>
  </si>
  <si>
    <t>FRWD</t>
  </si>
  <si>
    <t>FM</t>
  </si>
  <si>
    <t>FRWD Operations Department</t>
  </si>
  <si>
    <t>FRWD Sub-Function</t>
  </si>
  <si>
    <t>FRWD Function</t>
  </si>
  <si>
    <t>FRWD Ops.</t>
  </si>
  <si>
    <t>FRWD Operations</t>
  </si>
  <si>
    <t>FR_SUB</t>
  </si>
  <si>
    <t>FO</t>
  </si>
  <si>
    <t>FRWD Department</t>
  </si>
  <si>
    <t>GW</t>
  </si>
  <si>
    <t>Global Staffing and NWoW Department</t>
  </si>
  <si>
    <t>Talent Management Function</t>
  </si>
  <si>
    <t>Staffing and NWoW</t>
  </si>
  <si>
    <t>Global Staffing and NWoW</t>
  </si>
  <si>
    <t>TH</t>
  </si>
  <si>
    <t>Talent Mgmt.</t>
  </si>
  <si>
    <t>Talent Management</t>
  </si>
  <si>
    <t>RH</t>
  </si>
  <si>
    <t>EMEA Human Resources Department</t>
  </si>
  <si>
    <t>EMEA HR</t>
  </si>
  <si>
    <t>EMEA Human Resources</t>
  </si>
  <si>
    <t>B0</t>
  </si>
  <si>
    <t>Bain Career Advisory Department</t>
  </si>
  <si>
    <t>Employee Experience Sub-Function</t>
  </si>
  <si>
    <t>VH</t>
  </si>
  <si>
    <t>Global Culture and Employer Branding Department</t>
  </si>
  <si>
    <t>VI</t>
  </si>
  <si>
    <t>Global BEST Department</t>
  </si>
  <si>
    <t>GQ</t>
  </si>
  <si>
    <t>Global Employee Relations Department</t>
  </si>
  <si>
    <t>Global Employee Relations, Safety and Security Sub-Function</t>
  </si>
  <si>
    <t>ER</t>
  </si>
  <si>
    <t>Global Employee Relations</t>
  </si>
  <si>
    <t>ER_SUB</t>
  </si>
  <si>
    <t>H7</t>
  </si>
  <si>
    <t>Global Safety and Security Department</t>
  </si>
  <si>
    <t>Safety and Security</t>
  </si>
  <si>
    <t>Global Safety and Security</t>
  </si>
  <si>
    <t>CB</t>
  </si>
  <si>
    <t>Client Capability Building Department</t>
  </si>
  <si>
    <t>Global Training Sub-Function</t>
  </si>
  <si>
    <t>Client Capability Building</t>
  </si>
  <si>
    <t>GL_SUB</t>
  </si>
  <si>
    <t>Global Training</t>
  </si>
  <si>
    <t>HT</t>
  </si>
  <si>
    <t>Global Training Department</t>
  </si>
  <si>
    <t>CE</t>
  </si>
  <si>
    <t>Career Development Department</t>
  </si>
  <si>
    <t>Human Resources &amp; Talent Management Sub-Function</t>
  </si>
  <si>
    <t>Career Development</t>
  </si>
  <si>
    <t>GR_SUB</t>
  </si>
  <si>
    <t>HR &amp; Talent Mgmt.</t>
  </si>
  <si>
    <t>Human Resources &amp; Talent Management</t>
  </si>
  <si>
    <t>DJ</t>
  </si>
  <si>
    <t>GBS HR and Talent Department</t>
  </si>
  <si>
    <t>GBS HR and Talent</t>
  </si>
  <si>
    <t>EH</t>
  </si>
  <si>
    <t>Americas HR and Talent Department</t>
  </si>
  <si>
    <t>Americas HR and Talent</t>
  </si>
  <si>
    <t>GR</t>
  </si>
  <si>
    <t>Global Human Capital Department</t>
  </si>
  <si>
    <t>Global HR</t>
  </si>
  <si>
    <t>Global Human Capital</t>
  </si>
  <si>
    <t>H1</t>
  </si>
  <si>
    <t>Global Talent Management Services Department</t>
  </si>
  <si>
    <t>Talent Services</t>
  </si>
  <si>
    <t>Global Talent Management Services</t>
  </si>
  <si>
    <t>H2</t>
  </si>
  <si>
    <t>Global Human Capital Systems &amp; Analysis Department</t>
  </si>
  <si>
    <t>Global HR Systems &amp; Analysis</t>
  </si>
  <si>
    <t>Global Human Capital Systems &amp; Analysis</t>
  </si>
  <si>
    <t>H3</t>
  </si>
  <si>
    <t>Global Mobility Department</t>
  </si>
  <si>
    <t>Mobility</t>
  </si>
  <si>
    <t>Global Mobility</t>
  </si>
  <si>
    <t>H5</t>
  </si>
  <si>
    <t>Global CSS Talent Management Department</t>
  </si>
  <si>
    <t>CSS Talent Mgmt</t>
  </si>
  <si>
    <t>Global CSS Talent Management</t>
  </si>
  <si>
    <t>L1</t>
  </si>
  <si>
    <t>Local HR and Talent Department</t>
  </si>
  <si>
    <t>Local HR and Talent</t>
  </si>
  <si>
    <t>RC</t>
  </si>
  <si>
    <t>APAC HR and Talent Department</t>
  </si>
  <si>
    <t>APAC HR and Talent</t>
  </si>
  <si>
    <t>RI</t>
  </si>
  <si>
    <t>EMEA HR and Talent Department</t>
  </si>
  <si>
    <t>EMEA HR and Talent</t>
  </si>
  <si>
    <t>RU</t>
  </si>
  <si>
    <t>HR Operations Department</t>
  </si>
  <si>
    <t>HR Ops</t>
  </si>
  <si>
    <t>HR Operations</t>
  </si>
  <si>
    <t>SD</t>
  </si>
  <si>
    <t>GRS HR and Talent Department</t>
  </si>
  <si>
    <t>GRS HR and Talent</t>
  </si>
  <si>
    <t>WY</t>
  </si>
  <si>
    <t>BCN HR and Talent Department</t>
  </si>
  <si>
    <t>BCN HR and Talent</t>
  </si>
  <si>
    <t>XX_HR</t>
  </si>
  <si>
    <t>HR and Talent (History)</t>
  </si>
  <si>
    <t>CG</t>
  </si>
  <si>
    <t>DM</t>
  </si>
  <si>
    <t>DN</t>
  </si>
  <si>
    <t>Global PD &amp; Performance Department</t>
  </si>
  <si>
    <t>Talent Management COE Sub-Function</t>
  </si>
  <si>
    <t>PD &amp; Performance</t>
  </si>
  <si>
    <t>Global PD &amp; Performance</t>
  </si>
  <si>
    <t>GT_SUB</t>
  </si>
  <si>
    <t>Talent COE</t>
  </si>
  <si>
    <t>Talent Management COE</t>
  </si>
  <si>
    <t>DO</t>
  </si>
  <si>
    <t>Global Workforce Planning &amp; Staffing Department</t>
  </si>
  <si>
    <t>WFP &amp; Staffing</t>
  </si>
  <si>
    <t>Global Workforce Planning &amp; Staffing</t>
  </si>
  <si>
    <t>DP</t>
  </si>
  <si>
    <t>Global Talent Strategy Department</t>
  </si>
  <si>
    <t>Talent Strategy</t>
  </si>
  <si>
    <t>Global Talent Strategy</t>
  </si>
  <si>
    <t>EE</t>
  </si>
  <si>
    <t>GB</t>
  </si>
  <si>
    <t>Global Benefits Department</t>
  </si>
  <si>
    <t>Benefits</t>
  </si>
  <si>
    <t>Global Benefits</t>
  </si>
  <si>
    <t>GJ</t>
  </si>
  <si>
    <t>Global Compensation Department</t>
  </si>
  <si>
    <t>Compensation</t>
  </si>
  <si>
    <t>Global Compensation</t>
  </si>
  <si>
    <t>GU</t>
  </si>
  <si>
    <t>Global Mobility and Immigration Department</t>
  </si>
  <si>
    <t>Mobility and Immigration</t>
  </si>
  <si>
    <t>Global Mobility and Immigration</t>
  </si>
  <si>
    <t>H6</t>
  </si>
  <si>
    <t>Global Consulting Staff Talent Management Department</t>
  </si>
  <si>
    <t>Cons. Staff Talent Mgmt</t>
  </si>
  <si>
    <t>Global Consulting Staff Talent Management</t>
  </si>
  <si>
    <t>PZ</t>
  </si>
  <si>
    <t>Global People Analytics Department</t>
  </si>
  <si>
    <t>GPA</t>
  </si>
  <si>
    <t>Global People Analytics</t>
  </si>
  <si>
    <t>XX_TMCOE</t>
  </si>
  <si>
    <t>Talent Mgmt COE (History)</t>
  </si>
  <si>
    <t>ET</t>
  </si>
  <si>
    <t>Expert Talent Management Department</t>
  </si>
  <si>
    <t>Staffing &amp; Program Management Sub-Function</t>
  </si>
  <si>
    <t>Expert Talent mgmt.</t>
  </si>
  <si>
    <t>Expert Talent Management</t>
  </si>
  <si>
    <t>PR_SUB</t>
  </si>
  <si>
    <t>Staffing &amp; PM</t>
  </si>
  <si>
    <t>Staffing &amp; Program Management</t>
  </si>
  <si>
    <t>HR</t>
  </si>
  <si>
    <t>Local Staffing, and Program Management Department</t>
  </si>
  <si>
    <t>Local Staffing and PM</t>
  </si>
  <si>
    <t>Local Staffing, and Program Management</t>
  </si>
  <si>
    <t>VP</t>
  </si>
  <si>
    <t>Vector Talent &amp; Operations Department</t>
  </si>
  <si>
    <t>Vector Function</t>
  </si>
  <si>
    <t>VEC</t>
  </si>
  <si>
    <t>Vector</t>
  </si>
  <si>
    <t>C7</t>
  </si>
  <si>
    <t>Vector Operations</t>
  </si>
  <si>
    <t>BZ</t>
  </si>
  <si>
    <t>AA_SUB</t>
  </si>
  <si>
    <t>C5</t>
  </si>
  <si>
    <t>C6</t>
  </si>
  <si>
    <t>C8</t>
  </si>
  <si>
    <t>AAG Specialized Analytics Department</t>
  </si>
  <si>
    <t>Specialized Analytics</t>
  </si>
  <si>
    <t>AAG Specialized Analytics</t>
  </si>
  <si>
    <t>MK</t>
  </si>
  <si>
    <t>TZ</t>
  </si>
  <si>
    <t>Process Excellence Department</t>
  </si>
  <si>
    <t>Enterprise Tech Sub-Function</t>
  </si>
  <si>
    <t>Process Excellence</t>
  </si>
  <si>
    <t>ET_SUB</t>
  </si>
  <si>
    <t>Enterprise Tech</t>
  </si>
  <si>
    <t>YZ</t>
  </si>
  <si>
    <t>Technology Delivery Department</t>
  </si>
  <si>
    <t>Technology Delivery</t>
  </si>
  <si>
    <t>AT</t>
  </si>
  <si>
    <t>ADAPT Department</t>
  </si>
  <si>
    <t>Innovation &amp; Design Sub-Function</t>
  </si>
  <si>
    <t>ID_SUB</t>
  </si>
  <si>
    <t>I&amp;D</t>
  </si>
  <si>
    <t>Innovation &amp; Design</t>
  </si>
  <si>
    <t>BE</t>
  </si>
  <si>
    <t>I&amp;D Venture Ecosystem Department</t>
  </si>
  <si>
    <t>I&amp;D Venture Ecosystem</t>
  </si>
  <si>
    <t>C9</t>
  </si>
  <si>
    <t>CJ</t>
  </si>
  <si>
    <t>CN</t>
  </si>
  <si>
    <t>I&amp;D Strategy and Operations Department</t>
  </si>
  <si>
    <t>I&amp;D Strategy and Ops</t>
  </si>
  <si>
    <t>I&amp;D Strategy and Operations</t>
  </si>
  <si>
    <t>GG</t>
  </si>
  <si>
    <t>Global Engineering Department</t>
  </si>
  <si>
    <t>Global Engineering</t>
  </si>
  <si>
    <t>XH</t>
  </si>
  <si>
    <t>XE</t>
  </si>
  <si>
    <t>CW</t>
  </si>
  <si>
    <t>Financial Technology Department</t>
  </si>
  <si>
    <t>Private Equity Service Line Function</t>
  </si>
  <si>
    <t>Financial Tech</t>
  </si>
  <si>
    <t>Financial Technology</t>
  </si>
  <si>
    <t>VF</t>
  </si>
  <si>
    <t>PE Service Line</t>
  </si>
  <si>
    <t>Private Equity Service Line</t>
  </si>
  <si>
    <t>PI</t>
  </si>
  <si>
    <t>Private Equity Data Venture Strategy &amp; Operations Department</t>
  </si>
  <si>
    <t>PEDV Strategy &amp; Ops</t>
  </si>
  <si>
    <t>Private Equity Data Venture Strategy &amp; Operations</t>
  </si>
  <si>
    <t>DD</t>
  </si>
  <si>
    <t>DealEdge Department</t>
  </si>
  <si>
    <t>Private Equity Data Ventures Sub-Function</t>
  </si>
  <si>
    <t>DealEdge</t>
  </si>
  <si>
    <t>PD_SUB</t>
  </si>
  <si>
    <t>Private Equity Data Ventures</t>
  </si>
  <si>
    <t>PX</t>
  </si>
  <si>
    <t>Pyxis Department</t>
  </si>
  <si>
    <t>Pyxis</t>
  </si>
  <si>
    <t>WA</t>
  </si>
  <si>
    <t>Global PEG Strategy and Operations Department</t>
  </si>
  <si>
    <t>PE Strategy, Operations &amp; Talent Sub-Function</t>
  </si>
  <si>
    <t>Global PEG Strategy and Operations</t>
  </si>
  <si>
    <t>SQ_SUB</t>
  </si>
  <si>
    <t>PE Strategy, Ops, Talent</t>
  </si>
  <si>
    <t>PE Strategy, Operations &amp; Talent</t>
  </si>
  <si>
    <t>WB</t>
  </si>
  <si>
    <t>Americas PEG Talent and Operations Department</t>
  </si>
  <si>
    <t>Americas PEG Talent and Operations</t>
  </si>
  <si>
    <t>WC</t>
  </si>
  <si>
    <t>APAC PEG Talent and Operations Department</t>
  </si>
  <si>
    <t>APAC PEG Talent and Operations</t>
  </si>
  <si>
    <t>WD</t>
  </si>
  <si>
    <t>EMEA PEG Talent and Operations Department</t>
  </si>
  <si>
    <t>EMEA PEG Talent and Operations</t>
  </si>
  <si>
    <t>DK</t>
  </si>
  <si>
    <t>SPS Department</t>
  </si>
  <si>
    <t>Private Equity Service Line Sub-Function</t>
  </si>
  <si>
    <t>SPS</t>
  </si>
  <si>
    <t>SR_PEG</t>
  </si>
  <si>
    <t>PE</t>
  </si>
  <si>
    <t>Private Equity Strategy and Operations Department</t>
  </si>
  <si>
    <t>PE Strategy &amp; Ops</t>
  </si>
  <si>
    <t>Private Equity Strategy and Operations</t>
  </si>
  <si>
    <t>DB</t>
  </si>
  <si>
    <t>Helix Department</t>
  </si>
  <si>
    <t>PEG Innovation Sub-Function</t>
  </si>
  <si>
    <t>Helix</t>
  </si>
  <si>
    <t>SR_SUB</t>
  </si>
  <si>
    <t>PEG Innovation</t>
  </si>
  <si>
    <t>DF</t>
  </si>
  <si>
    <t>OPEX Engine Department</t>
  </si>
  <si>
    <t>OPEX Engine</t>
  </si>
  <si>
    <t>DH</t>
  </si>
  <si>
    <t>Private Equity Data Governance Department</t>
  </si>
  <si>
    <t>PE Data Gov.</t>
  </si>
  <si>
    <t>Private Equity Data Governance</t>
  </si>
  <si>
    <t>OB</t>
  </si>
  <si>
    <t>Data Businesses (Other) Department</t>
  </si>
  <si>
    <t>Data Bus. (Other)</t>
  </si>
  <si>
    <t>Data Businesses (Other)</t>
  </si>
  <si>
    <t>PH</t>
  </si>
  <si>
    <t>PEGAR Department</t>
  </si>
  <si>
    <t>PEGAR</t>
  </si>
  <si>
    <t>VA</t>
  </si>
  <si>
    <t>PEGAR Execution Team Department</t>
  </si>
  <si>
    <t>PEGAR Execution Team</t>
  </si>
  <si>
    <t>WE</t>
  </si>
  <si>
    <t>PEGAR Program Office Department</t>
  </si>
  <si>
    <t>PEGAR Program Office</t>
  </si>
  <si>
    <t>WS</t>
  </si>
  <si>
    <t>PEG Innovation Department</t>
  </si>
  <si>
    <t>OH</t>
  </si>
  <si>
    <t>Technology Insights Group Operations Department</t>
  </si>
  <si>
    <t>Technology Insights Group Sub-Function</t>
  </si>
  <si>
    <t>TIG</t>
  </si>
  <si>
    <t>Technology Insights Group Operations</t>
  </si>
  <si>
    <t>TI_SUB</t>
  </si>
  <si>
    <t>Technology Insights Group</t>
  </si>
  <si>
    <t>TD</t>
  </si>
  <si>
    <t>Technology Insights Group Department</t>
  </si>
  <si>
    <t>AU</t>
  </si>
  <si>
    <t>Automation Department</t>
  </si>
  <si>
    <t>Capability Delivery Solutions Function</t>
  </si>
  <si>
    <t>Automation</t>
  </si>
  <si>
    <t>WU</t>
  </si>
  <si>
    <t>Capability Delivery</t>
  </si>
  <si>
    <t>Capability Delivery Solutions</t>
  </si>
  <si>
    <t>BB</t>
  </si>
  <si>
    <t>Founder's Studio Department</t>
  </si>
  <si>
    <t>BY</t>
  </si>
  <si>
    <t>Bain Academy Department</t>
  </si>
  <si>
    <t>Bain Academy</t>
  </si>
  <si>
    <t>D7</t>
  </si>
  <si>
    <t>Macro Trends Group Department</t>
  </si>
  <si>
    <t>NI</t>
  </si>
  <si>
    <t>RO</t>
  </si>
  <si>
    <t>Coro Department</t>
  </si>
  <si>
    <t>Coro</t>
  </si>
  <si>
    <t>SC</t>
  </si>
  <si>
    <t>Business Development Department</t>
  </si>
  <si>
    <t>Bus. Dev.</t>
  </si>
  <si>
    <t>Business Development</t>
  </si>
  <si>
    <t>VC</t>
  </si>
  <si>
    <t>Vector Corporate Development Department</t>
  </si>
  <si>
    <t>Vector Corp. Dev.</t>
  </si>
  <si>
    <t>Vector Corporate Development</t>
  </si>
  <si>
    <t>BD</t>
  </si>
  <si>
    <t>Expertise Delivery Sub-Function</t>
  </si>
  <si>
    <t>CD_SUB</t>
  </si>
  <si>
    <t>Expertise Delivery</t>
  </si>
  <si>
    <t>RN</t>
  </si>
  <si>
    <t>RB</t>
  </si>
  <si>
    <t>Performance Acceleration Center Department</t>
  </si>
  <si>
    <t>Other New Services Sub-Function</t>
  </si>
  <si>
    <t>Perf. Accel. Center</t>
  </si>
  <si>
    <t>Performance Acceleration Center</t>
  </si>
  <si>
    <t>ON_SUB</t>
  </si>
  <si>
    <t>Other New Services</t>
  </si>
  <si>
    <t>MN</t>
  </si>
  <si>
    <t>Future Back Ventures Department</t>
  </si>
  <si>
    <t>FBV</t>
  </si>
  <si>
    <t>Future Back Ventures</t>
  </si>
  <si>
    <t>LI</t>
  </si>
  <si>
    <t>Research and Data Services Department</t>
  </si>
  <si>
    <t>Research and Data Services Function</t>
  </si>
  <si>
    <t>RDS</t>
  </si>
  <si>
    <t>Research and Data Services</t>
  </si>
  <si>
    <t>WX</t>
  </si>
  <si>
    <t>O2</t>
  </si>
  <si>
    <t>APAC Research and Data Services Department</t>
  </si>
  <si>
    <t>APAC RDS</t>
  </si>
  <si>
    <t>APAC Research and Data Services</t>
  </si>
  <si>
    <t>O3</t>
  </si>
  <si>
    <t>EMEA Research and Data Services Department</t>
  </si>
  <si>
    <t>EMEA RDS</t>
  </si>
  <si>
    <t>EMEA Research and Data Services</t>
  </si>
  <si>
    <t>O4</t>
  </si>
  <si>
    <t>Global Research and Data Services Department</t>
  </si>
  <si>
    <t>Global RDS</t>
  </si>
  <si>
    <t>Global Research and Data Services</t>
  </si>
  <si>
    <t>O5</t>
  </si>
  <si>
    <t>AMER Research and Data Services Department</t>
  </si>
  <si>
    <t>AMER RDS</t>
  </si>
  <si>
    <t>AMER Research and Data Services</t>
  </si>
  <si>
    <t>DW</t>
  </si>
  <si>
    <t>Talent Acquisition DEI Department</t>
  </si>
  <si>
    <t>TA DEI</t>
  </si>
  <si>
    <t>Talent Acquisition DEI</t>
  </si>
  <si>
    <t>EY</t>
  </si>
  <si>
    <t>Americas Talent Acquisition Operations Department</t>
  </si>
  <si>
    <t>Americas TA Ops</t>
  </si>
  <si>
    <t>Americas Talent Acquisition Operations</t>
  </si>
  <si>
    <t>DX</t>
  </si>
  <si>
    <t>Talent Acquisition Assessment Department</t>
  </si>
  <si>
    <t>TA Assessment</t>
  </si>
  <si>
    <t>Talent Acquisition Assessment</t>
  </si>
  <si>
    <t>E9</t>
  </si>
  <si>
    <t>DY</t>
  </si>
  <si>
    <t>Talent Acquisition Learning and Development Department</t>
  </si>
  <si>
    <t>TA L&amp;D</t>
  </si>
  <si>
    <t>Talent Acquisition Learning and Development</t>
  </si>
  <si>
    <t>E8</t>
  </si>
  <si>
    <t>Talent Acquisition Tools and Technology Department</t>
  </si>
  <si>
    <t>TA Tools &amp; Technology</t>
  </si>
  <si>
    <t>Talent Acquisition Tools and Technology</t>
  </si>
  <si>
    <t>EP</t>
  </si>
  <si>
    <t>EJ</t>
  </si>
  <si>
    <t>FV</t>
  </si>
  <si>
    <t>Tech Solutions - OCIO Agile, Culture &amp; Engagement Department</t>
  </si>
  <si>
    <t>EQ</t>
  </si>
  <si>
    <t>Tech Solutions - BSS PEG Apps Department</t>
  </si>
  <si>
    <t>FG</t>
  </si>
  <si>
    <t>Tech Solutions - DWX Network Engineering Department</t>
  </si>
  <si>
    <t>HA</t>
  </si>
  <si>
    <t>Tech Solutions - Global TechOps ServiceNow Department</t>
  </si>
  <si>
    <t>FQ</t>
  </si>
  <si>
    <t>Tech Solutions - Cyber Threat Management Department</t>
  </si>
  <si>
    <t>GF</t>
  </si>
  <si>
    <t>BCN TMT Department</t>
  </si>
  <si>
    <t>FT</t>
  </si>
  <si>
    <t>Tech Solutions - Global TechOps Infrastructure Department</t>
  </si>
  <si>
    <t>HB</t>
  </si>
  <si>
    <t>Global Practices Department</t>
  </si>
  <si>
    <t>EU</t>
  </si>
  <si>
    <t>Tech Solutions - BSS Talent Apps Department</t>
  </si>
  <si>
    <t>FN</t>
  </si>
  <si>
    <t>Tech Solutions - Cyber Risk Management Department</t>
  </si>
  <si>
    <t>FE</t>
  </si>
  <si>
    <t>Tech Solutions - DWX Desktop Engineering Department</t>
  </si>
  <si>
    <t>EB</t>
  </si>
  <si>
    <t>Tech Solutions - BSS Finance Apps Department</t>
  </si>
  <si>
    <t>FY</t>
  </si>
  <si>
    <t>Tech Solutions - OCIO Business Operations Department</t>
  </si>
  <si>
    <t>DZ</t>
  </si>
  <si>
    <t>Tech Solutions - BSS Data &amp; Analytics Department</t>
  </si>
  <si>
    <t>FZ</t>
  </si>
  <si>
    <t>Tech Solutions - Enterprise Innovation &amp; Architecture Department</t>
  </si>
  <si>
    <t>EK</t>
  </si>
  <si>
    <t>Tech Solutions - BSS Legal &amp; Risk Apps Department</t>
  </si>
  <si>
    <t>FU</t>
  </si>
  <si>
    <t>Tech Solutions - Global TechOps Platform Infra Department</t>
  </si>
  <si>
    <t>FJ</t>
  </si>
  <si>
    <t>Tech Solutions - Cyber Architecture &amp; Engineering Department</t>
  </si>
  <si>
    <t>EW</t>
  </si>
  <si>
    <t>Tech Solutions - DWX Consultant Productivity Product Department</t>
  </si>
  <si>
    <t>EL</t>
  </si>
  <si>
    <t>Tech Solutions - BSS Marketing &amp; Commercial Apps Department</t>
  </si>
  <si>
    <t>FB</t>
  </si>
  <si>
    <t>Tech Solutions - DWX Core Workplace Product Department</t>
  </si>
  <si>
    <t>EZ</t>
  </si>
  <si>
    <t>Tech Solutions - DWX Collaboration Engineering Department</t>
  </si>
  <si>
    <t>FH</t>
  </si>
  <si>
    <t>Tech Solutions - DWX Platform Engineering Department</t>
  </si>
  <si>
    <t>FK</t>
  </si>
  <si>
    <t>Tech Solutions - Cyber Identity &amp; Access Department</t>
  </si>
  <si>
    <t>GZ</t>
  </si>
  <si>
    <t>Tech Solutions - DWX Digital Asset Management Department</t>
  </si>
  <si>
    <t>FP</t>
  </si>
  <si>
    <t>Tech Solutions - Cyber Security &amp; Portfolio Management Department</t>
  </si>
  <si>
    <t>GL</t>
  </si>
  <si>
    <t>Korea Technology Excellence Centre Department</t>
  </si>
  <si>
    <t>HD</t>
  </si>
  <si>
    <t>Global Compliance Department</t>
  </si>
  <si>
    <t>MP_SUB</t>
  </si>
  <si>
    <t>MJ_SUB</t>
  </si>
  <si>
    <t>MK_SUB</t>
  </si>
  <si>
    <t>MN_SUB</t>
  </si>
  <si>
    <t>MO_SUB</t>
  </si>
  <si>
    <t>ML_SUB</t>
  </si>
  <si>
    <t>RK_SUB</t>
  </si>
  <si>
    <t>Technology Solutions Group Function</t>
  </si>
  <si>
    <t>Technology Solutions Group</t>
  </si>
  <si>
    <t>Office of the CIO Sub-Function</t>
  </si>
  <si>
    <t>Business Software Solutions Sub-Function</t>
  </si>
  <si>
    <t>Digital Workplace Experience Sub-Function</t>
  </si>
  <si>
    <t>Global TechOps &amp; Infrastructure Sub-Function</t>
  </si>
  <si>
    <t>Information Security Sub-Function</t>
  </si>
  <si>
    <t>Enterprise Innovation &amp; Architecture Sub-Function</t>
  </si>
  <si>
    <t>Global Compliance Sub-Function</t>
  </si>
  <si>
    <t>Business Software Solutions</t>
  </si>
  <si>
    <t>Digital Workplace Experience</t>
  </si>
  <si>
    <t>Global TechOps &amp; Infrastructure</t>
  </si>
  <si>
    <t>Information Security</t>
  </si>
  <si>
    <t>Global Compliance</t>
  </si>
  <si>
    <t>Tech Solutions - BSS Knowledge Management Department</t>
  </si>
  <si>
    <t>BSS</t>
  </si>
  <si>
    <t>Tech Solutions - Global TechOps Support Department</t>
  </si>
  <si>
    <t>TechOps &amp; Infrastructure</t>
  </si>
  <si>
    <t>Tech Solutions - BSS Architecture &amp; Engineering Department</t>
  </si>
  <si>
    <t>Tech Solutions - Leadership Department</t>
  </si>
  <si>
    <t>Tech Solutions - Leadership Sub-Function</t>
  </si>
  <si>
    <t>MQ_SUB</t>
  </si>
  <si>
    <t>Tech Solutions - OCIO Portfolio &amp; Program Management Department</t>
  </si>
  <si>
    <t>AI, Insights and Solutions Sub-Function</t>
  </si>
  <si>
    <t>AI, Insights and Solutions</t>
  </si>
  <si>
    <t>AIS</t>
  </si>
  <si>
    <t>AIS Data Science and Machine Learning Engineering Department</t>
  </si>
  <si>
    <t>AIS Data Science and Machine Learning Engineering</t>
  </si>
  <si>
    <t>AIS Insights Department</t>
  </si>
  <si>
    <t>AIS Application Engineering Department</t>
  </si>
  <si>
    <t>AIS Data Architecture &amp; Engineering Department</t>
  </si>
  <si>
    <t>AIS CoE Data Science and Machine Learning Engineering Department</t>
  </si>
  <si>
    <t>AIS DS &amp; ML Eng.</t>
  </si>
  <si>
    <t>AIS Designers Department</t>
  </si>
  <si>
    <t>AIS Primary Research Department</t>
  </si>
  <si>
    <t>BCN People &amp; ORG Department</t>
  </si>
  <si>
    <t>BCN People &amp; ORG</t>
  </si>
  <si>
    <t>EMEA Talent Acquisition Operations Department</t>
  </si>
  <si>
    <t>EMEA Talent Acquisition Operations</t>
  </si>
  <si>
    <t>EMEA TA Ops</t>
  </si>
  <si>
    <t>Tech Solutions - NGSS Architecture &amp; Engineering Department</t>
  </si>
  <si>
    <t>NGSS Architecture &amp; Engineering</t>
  </si>
  <si>
    <t>BSS Architecture &amp; Engineering</t>
  </si>
  <si>
    <t>Tech Solutions - NGSS Product Design Department</t>
  </si>
  <si>
    <t>NGSS Product Design</t>
  </si>
  <si>
    <t>Tech Solutions - NGSS Customer Success Department</t>
  </si>
  <si>
    <t>NGSS Customer Success</t>
  </si>
  <si>
    <t>Tech Solutions - NGSS Product Management Department</t>
  </si>
  <si>
    <t>NGSS Product Management</t>
  </si>
  <si>
    <t>TIG Ops</t>
  </si>
  <si>
    <t>Tech Solutions - OCIO Business Operations</t>
  </si>
  <si>
    <t>OCIO Biz Ops</t>
  </si>
  <si>
    <t>BSS Knowledge Mgmt.</t>
  </si>
  <si>
    <t>BSS PEG Apps</t>
  </si>
  <si>
    <t>BSS Talent Apps</t>
  </si>
  <si>
    <t>BSS Data &amp; Analytics</t>
  </si>
  <si>
    <t>BSS Legal &amp; Risk Apps</t>
  </si>
  <si>
    <t>BSS Mkting &amp; Comm Apps</t>
  </si>
  <si>
    <t>Tech Solutions - OCIO Agile, Culture &amp; Engagement</t>
  </si>
  <si>
    <t>OCIO Agile, Culture &amp; Engagement</t>
  </si>
  <si>
    <t>DWX</t>
  </si>
  <si>
    <t>Enterprise Innov. &amp; Architect.</t>
  </si>
  <si>
    <t>TechOps Infra.</t>
  </si>
  <si>
    <t>TechOps Platform Infra.</t>
  </si>
  <si>
    <t>Global Practices</t>
  </si>
  <si>
    <t>Korea Technology Excellence Centre</t>
  </si>
  <si>
    <t>Korea Tech COE</t>
  </si>
  <si>
    <t>Reporting and Analytics CoE Department</t>
  </si>
  <si>
    <t>R&amp;A</t>
  </si>
  <si>
    <t>Reporting and Analytics CoE</t>
  </si>
  <si>
    <t>HI</t>
  </si>
  <si>
    <t>HG</t>
  </si>
  <si>
    <t>UZ</t>
  </si>
  <si>
    <t>HE</t>
  </si>
  <si>
    <t>HF</t>
  </si>
  <si>
    <t>AIS Expert Consulting Department</t>
  </si>
  <si>
    <t>AI Insights and Solutions Practice Department</t>
  </si>
  <si>
    <t>Architecture Department</t>
  </si>
  <si>
    <t>Brand Studio Social Media Department</t>
  </si>
  <si>
    <t>AIS CoE Engineering Department</t>
  </si>
  <si>
    <t>AIS Expert Cons.</t>
  </si>
  <si>
    <t>Energy &amp; Natural Resources Expert Cons.</t>
  </si>
  <si>
    <t>Enterprise Technology Expert Cons.</t>
  </si>
  <si>
    <t>Financial Services Expert Cons.</t>
  </si>
  <si>
    <t>Advanced Analytics Expert Cons.</t>
  </si>
  <si>
    <t>Advanced Manufacturing &amp; Services Expert Cons.</t>
  </si>
  <si>
    <t>Consumer Products Expert Cons.</t>
  </si>
  <si>
    <t>Mergers &amp; Acquisition Expert Cons.</t>
  </si>
  <si>
    <t>Performance Improvement Expert Cons.</t>
  </si>
  <si>
    <t>Private Equity Expert Cons.</t>
  </si>
  <si>
    <t>Retail Expert Cons.</t>
  </si>
  <si>
    <t>Social Impact Expert Cons.</t>
  </si>
  <si>
    <t>AI Insights &amp; Solutions Practice</t>
  </si>
  <si>
    <t>AI Insights and Solutions Practice</t>
  </si>
  <si>
    <t>AIS Expert Consulting</t>
  </si>
  <si>
    <t>Architecture</t>
  </si>
  <si>
    <t>Brand Studio Social Media</t>
  </si>
  <si>
    <t>PEDV</t>
  </si>
  <si>
    <t>HJ</t>
  </si>
  <si>
    <t>Venture Ecosystem Department</t>
  </si>
  <si>
    <t>Venture Ecosystem</t>
  </si>
  <si>
    <t>MyCX Department</t>
  </si>
  <si>
    <t>MyCX</t>
  </si>
  <si>
    <t>External Talent Function Department</t>
  </si>
  <si>
    <t>External Talent Function</t>
  </si>
  <si>
    <t>External Talent Fxn</t>
  </si>
  <si>
    <t>CME Expert Cons.</t>
  </si>
  <si>
    <t>HM</t>
  </si>
  <si>
    <t>Background Screening Department</t>
  </si>
  <si>
    <t>Background Screening</t>
  </si>
  <si>
    <t>AIS Product Management &amp; Innovation Department</t>
  </si>
  <si>
    <t>AIS Product Mgmt &amp; Innov</t>
  </si>
  <si>
    <t>AIS Product Management &amp; Innovation</t>
  </si>
  <si>
    <t>BCN CE Coro</t>
  </si>
  <si>
    <t>HL</t>
  </si>
  <si>
    <t>HK</t>
  </si>
  <si>
    <t>Tech Solutions</t>
  </si>
  <si>
    <t>HQ</t>
  </si>
  <si>
    <t>BCN Customer - Pricing, CE, MCX Department</t>
  </si>
  <si>
    <t>BCN Cust Pricing, CE , MCX</t>
  </si>
  <si>
    <t>BCN Customer - Pricing, CE, MCX</t>
  </si>
  <si>
    <t>Global Risk, Safety and Security Sub-Function</t>
  </si>
  <si>
    <t>MS_SUB</t>
  </si>
  <si>
    <t>Global Risk, Safety and Security</t>
  </si>
  <si>
    <t>Risk, Safety &amp; Security</t>
  </si>
  <si>
    <t>Office of WWMP and RMP Sub-Function</t>
  </si>
  <si>
    <t>MT_SUB</t>
  </si>
  <si>
    <t>Office of WWMP and RMP</t>
  </si>
  <si>
    <t>WWMP &amp; RMP</t>
  </si>
  <si>
    <t>HS</t>
  </si>
  <si>
    <t>BCN PEG Department</t>
  </si>
  <si>
    <t>HW</t>
  </si>
  <si>
    <t>BCN Data &amp; Tech Department</t>
  </si>
  <si>
    <t>HU</t>
  </si>
  <si>
    <t>BCN Industries Department</t>
  </si>
  <si>
    <t>HV</t>
  </si>
  <si>
    <t>BCN Capabilities Department</t>
  </si>
  <si>
    <t>BCN PEG</t>
  </si>
  <si>
    <t>BCN Data &amp; Tech</t>
  </si>
  <si>
    <t>BCN Industries</t>
  </si>
  <si>
    <t>BCN Capabilities</t>
  </si>
  <si>
    <t>NPSx</t>
  </si>
  <si>
    <t>Talent Strategy, Analytics and Systems Sub-Function</t>
  </si>
  <si>
    <t>Compensation, Benefits and Mobility Sub-Function</t>
  </si>
  <si>
    <t>MU_SUB</t>
  </si>
  <si>
    <t>Comp, Benefits &amp; Mobility</t>
  </si>
  <si>
    <t>Compensation, Benefits and Mobility</t>
  </si>
  <si>
    <t>HX</t>
  </si>
  <si>
    <t>M&amp;A Integration and Technical Accounting Department</t>
  </si>
  <si>
    <t>M&amp;A Integration and Technical Accounting</t>
  </si>
  <si>
    <t>M&amp;A and Tech Acct</t>
  </si>
  <si>
    <t>HY</t>
  </si>
  <si>
    <t>Strategy &amp; Transformation Expert Consulting Department</t>
  </si>
  <si>
    <t>Strat &amp; Trans Expert Cons.</t>
  </si>
  <si>
    <t>Row Labels</t>
  </si>
  <si>
    <t>Grand Total</t>
  </si>
  <si>
    <t>(blank)</t>
  </si>
  <si>
    <t>Column Labels</t>
  </si>
  <si>
    <t xml:space="preserve">Count of Status </t>
  </si>
  <si>
    <t xml:space="preserve">&lt;&lt;mimic current BCN Tech Media and Telecom Dept </t>
  </si>
  <si>
    <t>&lt;&lt; confirm these are all blank</t>
  </si>
  <si>
    <t>&lt;&lt; confirm under CDS (vs. PPK)</t>
  </si>
  <si>
    <t>&lt;&lt; do we have an active AA and AIS expert dept?</t>
  </si>
  <si>
    <t>&lt;&lt;check is still current and this is right sub-func.  Would have thought undert market rep sub-func</t>
  </si>
  <si>
    <t xml:space="preserve">&lt;&lt; move under digital marketing </t>
  </si>
  <si>
    <t>&lt;&lt; who was in this? What subfunc are they in today</t>
  </si>
  <si>
    <t>&lt;&lt; move under Ta COE sub-fuc</t>
  </si>
  <si>
    <t>&lt;&lt; move under HR &amp; Talent sub-func</t>
  </si>
  <si>
    <t xml:space="preserve">&lt;&lt; mimic current WD location </t>
  </si>
  <si>
    <t>&lt;&lt;move under TSAS sub-func</t>
  </si>
  <si>
    <t>&lt;&lt; This should mimic the current talent strategy dept (func = talent, sub-func = TSAS)</t>
  </si>
  <si>
    <t>HO</t>
  </si>
  <si>
    <t>HN</t>
  </si>
  <si>
    <t>NEW</t>
  </si>
  <si>
    <t>Global Travel &amp; Expense Department</t>
  </si>
  <si>
    <t>Global Travel &amp; Expense</t>
  </si>
  <si>
    <t>Global T&amp;E</t>
  </si>
  <si>
    <t>Global Procure to Pay Department</t>
  </si>
  <si>
    <t>Global Procure to Pay</t>
  </si>
  <si>
    <t>Global P2P</t>
  </si>
  <si>
    <t>SLC</t>
  </si>
  <si>
    <t>Service Line Consulting</t>
  </si>
  <si>
    <t>Updated note for "original" function columns to reflect SLC function</t>
  </si>
  <si>
    <t>Updated note for "original" and actual function columns to reflect SLC function (SL)</t>
  </si>
  <si>
    <t>Sub function name change from "Global Employee Relations, Safety and Security Sub-Function" to "Global Employee Relations"</t>
  </si>
  <si>
    <t>Global Employee Relations Sub-Function</t>
  </si>
  <si>
    <t>Results Talent Network Department</t>
  </si>
  <si>
    <t>RTN</t>
  </si>
  <si>
    <t>Corporate Cards &amp; Central Bills</t>
  </si>
  <si>
    <t>Corp. Cards &amp; Central Bills</t>
  </si>
  <si>
    <t>Department name changed from "Global Corporate Card Department" to "Corporate Cards &amp; Central Bills Department"</t>
  </si>
  <si>
    <t>Notes</t>
  </si>
  <si>
    <t>Split across multiple dept in April 2022; not synced with dept P1</t>
  </si>
  <si>
    <t>Split across multiple dept in April 2023; not synced with specific dept code</t>
  </si>
  <si>
    <t>Split between E1 (AMS) and E2 (ENR) in April 2022; not mapped to single dept</t>
  </si>
  <si>
    <t>Synced with HG</t>
  </si>
  <si>
    <t>Synced with SR</t>
  </si>
  <si>
    <t>Synced with D1</t>
  </si>
  <si>
    <t>Synced with GF</t>
  </si>
  <si>
    <t>Split between WH and WI in Oct 2022; WH &amp; WI combined into GF in Jan 2025; previously not mapped to single dept, but now mapping with GF now that distinct departments have been consolidated</t>
  </si>
  <si>
    <t>Split between many departments</t>
  </si>
  <si>
    <t>Synced with RS</t>
  </si>
  <si>
    <t>Synced with XJ</t>
  </si>
  <si>
    <t>Split between VL(CP) and VM(Retail) in May 2023; not mapped to single dept</t>
  </si>
  <si>
    <t>Split between NS(Strategy) and NC(Corp Finance) in July 2022; not mapped to single dept</t>
  </si>
  <si>
    <t>Split between multiple departments in June 2024; not mapped to single dept</t>
  </si>
  <si>
    <t>Split between WM (APAC) and WL (EMEA) in Sep 2022; not mapped to single dept</t>
  </si>
  <si>
    <t>Note: currently 1 employee (VP, presumably oversees PEG globally C2, WM, WL)</t>
  </si>
  <si>
    <t>BCN Incubation Center Department</t>
  </si>
  <si>
    <t>BCN Incubation Center</t>
  </si>
  <si>
    <t>For review: related to dept SS- Change reverted: previously synced with dept VN, but actually split between 2 departments: VN (ET) and SS (Sustainability); not mapped with single dept</t>
  </si>
  <si>
    <t>For review: related to dept SS- marked as Review in KK file; change to dept IU mapping made due to review, but no changes to this row</t>
  </si>
  <si>
    <t>Note: currently 1 employee (EVP, presumably oversees depts E4 ConsProd and E3 Retail)</t>
  </si>
  <si>
    <t>Corrected Function to Operations, which aligns with current dept hierarchy sub-function Creative Services</t>
  </si>
  <si>
    <t>Note: N=7 as of 2025-06-04; all 7 employees in this general dept instead of a specific PA are in Italy (Italy total Expert/Specialist Consulting N=14)</t>
  </si>
  <si>
    <t>Changed to historical: split between HN (P2P) and HO (T&amp;E) in June 2025; not mapped to single dept</t>
  </si>
  <si>
    <t>Synced with HL</t>
  </si>
  <si>
    <r>
      <rPr>
        <sz val="10"/>
        <rFont val="Arial"/>
        <family val="2"/>
        <scheme val="minor"/>
      </rPr>
      <t xml:space="preserve">Updated to Historical
</t>
    </r>
    <r>
      <rPr>
        <i/>
        <sz val="10"/>
        <rFont val="Arial"/>
        <family val="2"/>
        <scheme val="minor"/>
      </rPr>
      <t>Split across multiple dept in April-October 2023; not synced with specific dept code</t>
    </r>
  </si>
  <si>
    <t>HP</t>
  </si>
  <si>
    <t>Future</t>
  </si>
  <si>
    <t>Global Supplier Management Department</t>
  </si>
  <si>
    <t>Global Supplier Management</t>
  </si>
  <si>
    <t>Global Supplier Mgmt</t>
  </si>
  <si>
    <t>Megan notes 6/4</t>
  </si>
  <si>
    <t>Done</t>
  </si>
  <si>
    <t>Confirmed</t>
  </si>
  <si>
    <t>Moved to PPK: 
Macro Trends is technically still under CDS; however we synced this dept with new dept P1 and moved it to PPK (details noted)</t>
  </si>
  <si>
    <t>Kendra notes</t>
  </si>
  <si>
    <t>N=17</t>
  </si>
  <si>
    <t>We have 2 separate active depts; currently 37 in this dept</t>
  </si>
  <si>
    <t>Synced with DP</t>
  </si>
  <si>
    <t>Done, incl. dept name update to talent strat</t>
  </si>
  <si>
    <t>Updated to market rep sub fxn</t>
  </si>
  <si>
    <t>NPSx Department</t>
  </si>
  <si>
    <t>Synced with LR</t>
  </si>
  <si>
    <t>Synced with EW</t>
  </si>
  <si>
    <t>Synced with FY</t>
  </si>
  <si>
    <t>Synced with OC</t>
  </si>
  <si>
    <t>Updated subfunction</t>
  </si>
  <si>
    <t>Synced with EP</t>
  </si>
  <si>
    <t>Changed from Operations to Finance function/subfunction</t>
  </si>
  <si>
    <t>There's no one in the latest full employee list, which means anyone who was in the dept eventually moved out of it.</t>
  </si>
  <si>
    <t>Moved to TA function; awaiting confirmation of subfunction</t>
  </si>
  <si>
    <t>Done: manually added subfunction</t>
  </si>
  <si>
    <r>
      <rPr>
        <sz val="10"/>
        <rFont val="Arial"/>
        <family val="2"/>
        <scheme val="minor"/>
      </rPr>
      <t xml:space="preserve">Sub-function manual override to add HR &amp; TM;
</t>
    </r>
    <r>
      <rPr>
        <i/>
        <sz val="10"/>
        <rFont val="Arial"/>
        <family val="2"/>
        <scheme val="minor"/>
      </rPr>
      <t>Split between multiple departments in July/October 2024; not mapped to single dept</t>
    </r>
  </si>
  <si>
    <t>Manually overrode Subfxn to add TA COE; 
Updated to Historical (0 non-term employees)</t>
  </si>
  <si>
    <t>Manually overrode Subfxn to add Digital Marketing</t>
  </si>
  <si>
    <t>Synced with XD</t>
  </si>
  <si>
    <t>Data overrides historical depts AN, IV</t>
  </si>
  <si>
    <t>Synced with C7</t>
  </si>
  <si>
    <t>Unique ID</t>
  </si>
  <si>
    <t>Data overrides historical dept XE</t>
  </si>
  <si>
    <t>Synced with CJ</t>
  </si>
  <si>
    <t>Data overrides historical dept BF</t>
  </si>
  <si>
    <t>Data overrides historical depts CQ, WJ</t>
  </si>
  <si>
    <t>Data overrides historical depts B5, NM</t>
  </si>
  <si>
    <t>Synced with HQ</t>
  </si>
  <si>
    <t>Data overrides historical depts B9, NF, OX, C0</t>
  </si>
  <si>
    <t>Data overrides historical depts WH, WI</t>
  </si>
  <si>
    <t>Synced with WF</t>
  </si>
  <si>
    <t>Synced with E2</t>
  </si>
  <si>
    <t>AG Notes</t>
  </si>
  <si>
    <t>In WD this has a blank sub fxn &gt; should we be pushing WD to update?</t>
  </si>
  <si>
    <t>Changed back to "Results Talent Network Department" from "External Talent Function Department"; will likely change back as a whole was moved to HLworkday; 1 employee in "RTN" to be termed EOM; likely to be Historical by July 2025</t>
  </si>
  <si>
    <t>Includes historical depts BD (will include RN as of July 2025)</t>
  </si>
  <si>
    <t>Synced with HY</t>
  </si>
  <si>
    <t>Data overrides historical depts N1, N4</t>
  </si>
  <si>
    <t>Data overrides historical depts E5, E6</t>
  </si>
  <si>
    <t>SM</t>
  </si>
  <si>
    <t>IA</t>
  </si>
  <si>
    <t>AIS Engineering Department</t>
  </si>
  <si>
    <t>AIS Engineering</t>
  </si>
  <si>
    <t>Engineering</t>
  </si>
  <si>
    <t>HZ</t>
  </si>
  <si>
    <t>Global Internal Audit Department</t>
  </si>
  <si>
    <t>Internal Audit</t>
  </si>
  <si>
    <t>Global Internal Audit</t>
  </si>
  <si>
    <t>Macro Trends</t>
  </si>
  <si>
    <t>Macro Trends Group</t>
  </si>
  <si>
    <t>IB</t>
  </si>
  <si>
    <t>Talent Engagement Department</t>
  </si>
  <si>
    <t>Talent Strategy and Experience Sub-Function</t>
  </si>
  <si>
    <t>Talent Engagement</t>
  </si>
  <si>
    <t>Engagement</t>
  </si>
  <si>
    <t>ME_SUB</t>
  </si>
  <si>
    <t>Strategy &amp; Experience</t>
  </si>
  <si>
    <t>Talent Strategy &amp; Experience</t>
  </si>
  <si>
    <t>Manually overrode Subfxn to add TSE</t>
  </si>
  <si>
    <t>Data overrides historical depts B0, A6, GV, A7, EE, VI</t>
  </si>
  <si>
    <t>Synced with IB</t>
  </si>
  <si>
    <t>PM</t>
  </si>
  <si>
    <t>Practice Marketing - Industry Department</t>
  </si>
  <si>
    <t>Practice Marketing Industry</t>
  </si>
  <si>
    <t>TI</t>
  </si>
  <si>
    <t>Practice Marketing – Capability Department</t>
  </si>
  <si>
    <t>Practice Marketing Capability</t>
  </si>
  <si>
    <t>IH</t>
  </si>
  <si>
    <t>TSG - Global TechOps Product Management Department</t>
  </si>
  <si>
    <t>TSG Global TechOps</t>
  </si>
  <si>
    <t>TSG Global TechOps Product Management</t>
  </si>
  <si>
    <t>Sub-Function Represented</t>
  </si>
  <si>
    <t>IJ</t>
  </si>
  <si>
    <t>Data overrides historical depts ND, DT, II</t>
  </si>
  <si>
    <t>Synced with IJ</t>
  </si>
  <si>
    <t>Synced with TA</t>
  </si>
  <si>
    <t>Data overrides historical dept FK</t>
  </si>
  <si>
    <t>Synched with FJ</t>
  </si>
  <si>
    <t>Synced with IA</t>
  </si>
  <si>
    <t>Synced with MK</t>
  </si>
  <si>
    <t>Data overrides historical dept XH</t>
  </si>
  <si>
    <t>Synced with C9</t>
  </si>
  <si>
    <t>Historical departments A1, AB and EA split between this dept and HO; not mapped historically</t>
  </si>
  <si>
    <t>Historical departments A1, AB and EA split between this dept and HN; not mapped historically</t>
  </si>
  <si>
    <t>Historical department spread across 9 new departments; history not mapped</t>
  </si>
  <si>
    <t>Synced with D7</t>
  </si>
  <si>
    <t>Data overrides historical depts BN, FC, P1</t>
  </si>
  <si>
    <t>Data overrides historical depts BZ, C5, HF</t>
  </si>
  <si>
    <t>Data overrides historical dept D4</t>
  </si>
  <si>
    <t>Data overrides historical dept DS</t>
  </si>
  <si>
    <t>Data overrides historical dept E7</t>
  </si>
  <si>
    <t>Data overrides historical dept G7</t>
  </si>
  <si>
    <t>Data overrides historical dept HC</t>
  </si>
  <si>
    <t>Data overrides historical dept KT</t>
  </si>
  <si>
    <t>Data overrides historical dept NW</t>
  </si>
  <si>
    <t>Data overrides historical dept TE</t>
  </si>
  <si>
    <t>Data overrides historical depts VP, BB</t>
  </si>
  <si>
    <t>Data overrides historical depts EJ,C6</t>
  </si>
  <si>
    <t>Data overrides historical dept VG</t>
  </si>
  <si>
    <t>Synced with PD</t>
  </si>
  <si>
    <t>Data overrides historical depts CC, IM
Changed to historical: split between TI (Prac Mrkt Capability) and PM (Prac Mrkt Industry); history not mapped</t>
  </si>
  <si>
    <t>Historical departments EP (CC, IM) split between this dept and PM; not mapped historically</t>
  </si>
  <si>
    <t>Historical departments EP (CC, IM) split between this dept and TI; not mapped historically</t>
  </si>
  <si>
    <t>Changed to historical: split between HN (P2P) and HO (T&amp;E); history not mapped</t>
  </si>
  <si>
    <t>IK</t>
  </si>
  <si>
    <t>IL</t>
  </si>
  <si>
    <t>TSG - Global Operations Technology Department</t>
  </si>
  <si>
    <t>TSG - Strategy &amp; Operations Department</t>
  </si>
  <si>
    <t>Finance &amp; Global Operations Technology Sub-Function</t>
  </si>
  <si>
    <t>Strategy &amp; Innovation Sub-Function</t>
  </si>
  <si>
    <t>TSG Global Ops Tech</t>
  </si>
  <si>
    <t>TSG Strategy &amp; Ops</t>
  </si>
  <si>
    <t>TSG - Global Operations Technology</t>
  </si>
  <si>
    <t>TSG - Strategy &amp; Operations</t>
  </si>
  <si>
    <t>Finance &amp; Global Ops Tech</t>
  </si>
  <si>
    <t>Strategy &amp; Innovation</t>
  </si>
  <si>
    <t>Finance &amp; Global Operations Technology</t>
  </si>
  <si>
    <t>New Department - no historical mapping</t>
  </si>
  <si>
    <t>2 People moved to Vector Talent Management (April 2026)
5 People moved to Expert Program Management (ET should eventually map to IX)
1 Person still active in the department</t>
  </si>
  <si>
    <t>IX</t>
  </si>
  <si>
    <t>Expert Program Management Department</t>
  </si>
  <si>
    <t>Expert Program mgmt.</t>
  </si>
  <si>
    <t>Expert Program Management</t>
  </si>
  <si>
    <t>Moves from Expert Talent Management (1 person remains active in old department)</t>
  </si>
  <si>
    <t>Healthcare and Life Sciences Expert Cons.</t>
  </si>
  <si>
    <t>Healthcare &amp; Life Sciences Expert Consulting</t>
  </si>
  <si>
    <t>Peopl and Organization Expert Cons.</t>
  </si>
  <si>
    <t>People and Organization Expert Consulting</t>
  </si>
  <si>
    <t>Sustainability Expert Cons.</t>
  </si>
  <si>
    <t>Sustainability Expert Consulting</t>
  </si>
  <si>
    <t>Technology, Media and Telecommunications Expert Cons.</t>
  </si>
  <si>
    <t>People and Organization Expert Consulting Department</t>
  </si>
  <si>
    <t>Sustainability Expert Consulting Department</t>
  </si>
  <si>
    <t>Technology, Media and Telecommunications Expert Consulting Department</t>
  </si>
  <si>
    <t>Name change on April 9, 2026</t>
  </si>
  <si>
    <t>IQ</t>
  </si>
  <si>
    <t>IY</t>
  </si>
  <si>
    <t>BCN Vector Department</t>
  </si>
  <si>
    <t>Celerity Department</t>
  </si>
  <si>
    <t>BCN Vector</t>
  </si>
  <si>
    <t xml:space="preserve">Celerity </t>
  </si>
  <si>
    <t>Strategy and Transformation Practice Department</t>
  </si>
  <si>
    <t>Strategy and Transformation Practice</t>
  </si>
  <si>
    <t>Strategy and Transformation</t>
  </si>
  <si>
    <t>AC Talent Acquisition and Recruiting Programs Department</t>
  </si>
  <si>
    <t>Corporate Relations Department</t>
  </si>
  <si>
    <t>TSG - BSS Data &amp; Analytics Department</t>
  </si>
  <si>
    <t>TSG - BSS Legal &amp; Risk Apps Department</t>
  </si>
  <si>
    <t>TSG - BSS Marketing &amp; Commercial Apps Department</t>
  </si>
  <si>
    <t>TSG - BSS PEG Apps Department</t>
  </si>
  <si>
    <t>TSG - BSS Talent Apps Department</t>
  </si>
  <si>
    <t>TSG - DWX Collaboration Engineering Department</t>
  </si>
  <si>
    <t>TSG - DWX Core Workplace Product Department</t>
  </si>
  <si>
    <t>TSG - DWX Desktop Engineering Department</t>
  </si>
  <si>
    <t>TSG - DWX Network Engineering Department</t>
  </si>
  <si>
    <t>TSG - DWX Platform Engineering Department</t>
  </si>
  <si>
    <t>TSG - Cyber Risk Management Department</t>
  </si>
  <si>
    <t>TSG - Cybersecurity Products &amp; Strategy Department</t>
  </si>
  <si>
    <t>TSG - Cyber Threat Management Department</t>
  </si>
  <si>
    <t>TSG - Global TechOps Infrastructure Department</t>
  </si>
  <si>
    <t>TSG - Global TechOps Platform Infra Department</t>
  </si>
  <si>
    <t>TSG - Enterprise Innovation &amp; Architecture Department</t>
  </si>
  <si>
    <t>TSG - NGSS Product Management Department</t>
  </si>
  <si>
    <t>TSG - NGSS Product Design Department</t>
  </si>
  <si>
    <t>TSG - NGSS Architecture &amp; Engineering Department</t>
  </si>
  <si>
    <t>TSG - NGSS Customer Success Department</t>
  </si>
  <si>
    <t>TSG - DWX Digital Asset Management Department</t>
  </si>
  <si>
    <t>TSG - Global TechOps ServiceNow Department</t>
  </si>
  <si>
    <t>TSG - BSS Knowledge Management Department</t>
  </si>
  <si>
    <t>TSG - Global TechOps Support Department</t>
  </si>
  <si>
    <t>TSG - Leadership Department</t>
  </si>
  <si>
    <t>TSG - BSS Architecture &amp; Engineering Department</t>
  </si>
  <si>
    <t>Corporate Relations</t>
  </si>
  <si>
    <t>DWX Collab Eng.</t>
  </si>
  <si>
    <t>DWX Core Workplace Prod.</t>
  </si>
  <si>
    <t>DWX Desktop Eng.</t>
  </si>
  <si>
    <t>DWX Network Eng.</t>
  </si>
  <si>
    <t>DWX Platform Eng.</t>
  </si>
  <si>
    <t>Cyber Risk Mgmt.</t>
  </si>
  <si>
    <t>Cybersecurity Products &amp; Strategy</t>
  </si>
  <si>
    <t>Cyber Threat Mgmt.</t>
  </si>
  <si>
    <t>DWX Dig. Asset Mgmt.</t>
  </si>
  <si>
    <t>Global TechOps ServiceNow</t>
  </si>
  <si>
    <t>Global TechOps Support</t>
  </si>
  <si>
    <t>Leadership</t>
  </si>
  <si>
    <t>TSG - BSS Data &amp; Analytics</t>
  </si>
  <si>
    <t>TSG - BSS Legal &amp; Risk Apps</t>
  </si>
  <si>
    <t>TSG - BSS Marketing &amp; Commercial Apps</t>
  </si>
  <si>
    <t>TSG - BSS PEG Apps</t>
  </si>
  <si>
    <t>TSG - BSS Talent Apps</t>
  </si>
  <si>
    <t>TSG - DWX Collaboration Engineering</t>
  </si>
  <si>
    <t>TSG - DWX Core Workplace Product</t>
  </si>
  <si>
    <t>TSG - DWX Desktop Engineering</t>
  </si>
  <si>
    <t>TSG - DWX Network Engineering</t>
  </si>
  <si>
    <t>TSG - DWX Platform Engineering</t>
  </si>
  <si>
    <t>TSG - Cyber Risk Management</t>
  </si>
  <si>
    <t>TSG - Cybersecurity Products &amp; Strategy</t>
  </si>
  <si>
    <t>TSG - Cyber Threat Management</t>
  </si>
  <si>
    <t>TSG - Global TechOps Infrastructure</t>
  </si>
  <si>
    <t>TSG - Global TechOps Platform Infra</t>
  </si>
  <si>
    <t>TSG - NGSS Product Management</t>
  </si>
  <si>
    <t>TSG - NGSS Product Design</t>
  </si>
  <si>
    <t>TSG - NGSS Architecture &amp; Engineering</t>
  </si>
  <si>
    <t>TSG - NGSS Customer Success</t>
  </si>
  <si>
    <t>TSG - DWX Digital Asset Management</t>
  </si>
  <si>
    <t>TSG - Global TechOps ServiceNow</t>
  </si>
  <si>
    <t>TSG - BSS Knowledge Management</t>
  </si>
  <si>
    <t>TSG - Global TechOps Support</t>
  </si>
  <si>
    <t>TSG - Leadership</t>
  </si>
  <si>
    <t>TSG - BSS Architecture &amp; Engineering</t>
  </si>
  <si>
    <t>Synced with VH</t>
  </si>
  <si>
    <t>Overrides historical CG and DM</t>
  </si>
  <si>
    <t>AIS Design &amp; Research Department</t>
  </si>
  <si>
    <t>Technology, Media, and Telecommunications Practice Department</t>
  </si>
  <si>
    <t>TSG - DWX Consultant Productivity Product Department</t>
  </si>
  <si>
    <t>TSG - Cyber Architecture &amp; Engineering Department</t>
  </si>
  <si>
    <t>TSG - Program &amp; Change Enablement Department</t>
  </si>
  <si>
    <t>Global Partner Analytics and Talent Department</t>
  </si>
  <si>
    <t>Sustainability Practice Department</t>
  </si>
  <si>
    <t>Culture and Employer Brand Department</t>
  </si>
  <si>
    <t>Design &amp; Research</t>
  </si>
  <si>
    <t>AIS Design &amp; Research</t>
  </si>
  <si>
    <t>Culture Employer Brand</t>
  </si>
  <si>
    <t>Partner Analytics and Talent</t>
  </si>
  <si>
    <t>Sustainability Practice</t>
  </si>
  <si>
    <t>Cyber Architet. &amp; Eng.</t>
  </si>
  <si>
    <t>TSG - Cyber Architecture &amp; Engineering</t>
  </si>
  <si>
    <t>DWX Cons Productivity Prod</t>
  </si>
  <si>
    <t>TSG - DWX Consultant Productivity Product</t>
  </si>
  <si>
    <t>Program &amp; Change Enablement</t>
  </si>
  <si>
    <t>TSG - Program &amp; Change Enablement</t>
  </si>
  <si>
    <t>Technology, Media, and Telecommunications Practice</t>
  </si>
  <si>
    <t>TSG - Leadership Sub-Function</t>
  </si>
  <si>
    <t>Finance Technology</t>
  </si>
  <si>
    <t>TSG - Finance Technology Department</t>
  </si>
  <si>
    <t>Corporate Cards &amp; Central Bills Department</t>
  </si>
  <si>
    <t>AC TA and Recruiting Programs</t>
  </si>
  <si>
    <t>AC Talent Acquisition and Recruiting Programs</t>
  </si>
  <si>
    <t>PPK Talent and Operations Department</t>
  </si>
  <si>
    <t>PPK Talent and Ops</t>
  </si>
  <si>
    <t>PPK Talent and Operations</t>
  </si>
  <si>
    <t>Healthcare and Life Sciences Expert Consulting Department</t>
  </si>
  <si>
    <t>RG</t>
  </si>
  <si>
    <t>P6</t>
  </si>
  <si>
    <t>MO</t>
  </si>
  <si>
    <t>MA</t>
  </si>
  <si>
    <t>M9</t>
  </si>
  <si>
    <t>M0</t>
  </si>
  <si>
    <t>IN</t>
  </si>
  <si>
    <t>CV</t>
  </si>
  <si>
    <t>C3</t>
  </si>
  <si>
    <t>BCN PEG Products Department</t>
  </si>
  <si>
    <t>Results Delivery Practice Department</t>
  </si>
  <si>
    <t>Regional Graphics Production Department</t>
  </si>
  <si>
    <t>Bain Capability Network Sub-Function</t>
  </si>
  <si>
    <t>BS_SUB</t>
  </si>
  <si>
    <t>History not mapped</t>
  </si>
  <si>
    <t>BCN PEG Products</t>
  </si>
  <si>
    <t>Results Delivery Practice</t>
  </si>
  <si>
    <t>Regional Graphics Production</t>
  </si>
  <si>
    <t>Data overrides historical depts CV, M0, M9, MA, MO.</t>
  </si>
  <si>
    <t>Synched with FO</t>
  </si>
  <si>
    <t>Data overrides historical depts IN</t>
  </si>
  <si>
    <t>Synched with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</si>
</sst>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33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Aptos Narrow"/>
      <family val="2"/>
    </font>
    <font>
      <i/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B05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1" fillId="9" borderId="0" applyNumberFormat="0" applyBorder="0" applyAlignment="0">
      <protection locked="0"/>
    </xf>
    <xf numFmtId="0" fontId="22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4" fillId="13" borderId="0" xfId="0" applyFont="1" applyFill="1"/>
    <xf numFmtId="0" fontId="24" fillId="14" borderId="0" xfId="0" applyFont="1" applyFill="1"/>
    <xf numFmtId="0" fontId="0" fillId="0" borderId="0" xfId="0" applyFill="1"/>
    <xf numFmtId="0" fontId="24" fillId="12" borderId="0" xfId="0" applyFont="1" applyFill="1"/>
    <xf numFmtId="0" fontId="23" fillId="0" borderId="0" xfId="0" applyFont="1" applyFill="1"/>
    <xf numFmtId="0" fontId="25" fillId="0" borderId="0" xfId="0" applyFont="1" applyFill="1"/>
    <xf numFmtId="0" fontId="25" fillId="0" borderId="0" xfId="0" applyFont="1" applyFill="1" applyAlignment="1">
      <alignment vertical="top" wrapText="1"/>
    </xf>
    <xf numFmtId="0" fontId="23" fillId="0" borderId="0" xfId="0" applyFont="1" applyFill="1" applyAlignment="1">
      <alignment vertical="top" wrapText="1"/>
    </xf>
    <xf numFmtId="0" fontId="25" fillId="0" borderId="0" xfId="0" applyFont="1" applyFill="1" applyAlignment="1"/>
    <xf numFmtId="0" fontId="25" fillId="0" borderId="0" xfId="0" applyFont="1" applyFill="1" applyAlignment="1">
      <alignment vertical="top"/>
    </xf>
    <xf numFmtId="0" fontId="26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29" fillId="0" borderId="0" xfId="0" applyFont="1"/>
    <xf numFmtId="0" fontId="29" fillId="0" borderId="0" xfId="0" applyFont="1" applyAlignment="1"/>
    <xf numFmtId="0" fontId="30" fillId="0" borderId="0" xfId="0" applyFont="1"/>
    <xf numFmtId="0" fontId="0" fillId="0" borderId="0" xfId="0" applyFill="1" applyAlignment="1">
      <alignment vertical="top" wrapText="1"/>
    </xf>
    <xf numFmtId="0" fontId="25" fillId="0" borderId="0" xfId="0" applyFont="1" applyFill="1" applyAlignment="1">
      <alignment wrapText="1"/>
    </xf>
    <xf numFmtId="0" fontId="28" fillId="0" borderId="0" xfId="0" applyFont="1" applyFill="1"/>
    <xf numFmtId="0" fontId="24" fillId="13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7" fillId="0" borderId="0" xfId="0" applyFont="1" applyFill="1" applyAlignment="1">
      <alignment wrapText="1"/>
    </xf>
    <xf numFmtId="0" fontId="30" fillId="0" borderId="0" xfId="0" applyFont="1" applyFill="1" applyAlignment="1">
      <alignment wrapText="1"/>
    </xf>
    <xf numFmtId="0" fontId="29" fillId="0" borderId="0" xfId="0" applyFont="1" applyFill="1" applyAlignment="1">
      <alignment wrapText="1"/>
    </xf>
    <xf numFmtId="0" fontId="24" fillId="0" borderId="0" xfId="0" applyFont="1" applyFill="1"/>
    <xf numFmtId="0" fontId="0" fillId="0" borderId="0" xfId="0" applyFill="1" applyAlignment="1">
      <alignment vertical="top"/>
    </xf>
    <xf numFmtId="0" fontId="31" fillId="0" borderId="0" xfId="0" applyFont="1" applyFill="1" applyAlignment="1">
      <alignment horizontal="left" vertical="center" wrapText="1"/>
    </xf>
    <xf numFmtId="0" fontId="31" fillId="0" borderId="0" xfId="0" applyFont="1" applyFill="1" applyAlignment="1">
      <alignment vertical="top" wrapText="1"/>
    </xf>
    <xf numFmtId="0" fontId="32" fillId="0" borderId="0" xfId="0" applyFont="1" applyFill="1" applyAlignment="1">
      <alignment horizontal="left" vertical="center" wrapText="1"/>
    </xf>
  </cellXfs>
  <cellStyles count="29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rgb="FFFFFFFF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50"/>
      <tableStyleElement type="headerRow" dxfId="49"/>
      <tableStyleElement type="totalRow" dxfId="48"/>
      <tableStyleElement type="firstColumn" dxfId="47"/>
      <tableStyleElement type="firstRowStripe" dxfId="46"/>
    </tableStyle>
    <tableStyle name="General Table Style" pivot="0" count="6" xr9:uid="{00000000-0011-0000-FFFF-FFFF00000000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</tableStyle>
    <tableStyle name="Input Assumptions Table Style" pivot="0" count="6" xr9:uid="{00000000-0011-0000-FFFF-FFFF01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Facts Table Style" pivot="0" count="6" xr9:uid="{00000000-0011-0000-FFFF-FFFF02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Multi-purpose Table Style 1" pivot="0" count="6" xr9:uid="{00000000-0011-0000-FFFF-FFFF03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2" pivot="0" count="6" xr9:uid="{00000000-0011-0000-FFFF-FFFF04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3" pivot="0" count="6" xr9:uid="{00000000-0011-0000-FFFF-FFFF05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33"/>
      <color rgb="FFD9ABC6"/>
      <color rgb="FFFFFF00"/>
      <color rgb="FFFFCC00"/>
      <color rgb="FFA3BCD3"/>
      <color rgb="FFEE9012"/>
      <color rgb="FFF2DE8A"/>
      <color rgb="FFB4B4B4"/>
      <color rgb="FF5C5C5C"/>
      <color rgb="FF4664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dra Kofler" refreshedDate="45811.691643287035" createdVersion="8" refreshedVersion="8" minRefreshableVersion="3" recordCount="388" xr:uid="{01CD2A17-C552-4FF3-B1D9-BE788F8BE928}">
  <cacheSource type="worksheet">
    <worksheetSource ref="J11" sheet="Dept Hierarchy_260206"/>
  </cacheSource>
  <cacheFields count="15">
    <cacheField name="Status " numFmtId="0">
      <sharedItems count="2">
        <s v="Historical"/>
        <s v="Current"/>
      </sharedItems>
    </cacheField>
    <cacheField name="dept_code" numFmtId="0">
      <sharedItems/>
    </cacheField>
    <cacheField name="Department" numFmtId="0">
      <sharedItems count="362">
        <s v="AAG Specialized Analytics Department"/>
        <s v="AC Talent Acquisition Department"/>
        <s v="Account Marketing Department"/>
        <s v="Accounting Transformation Department"/>
        <s v="ADAPT Department"/>
        <s v="Advanced Analytics Expert Consulting Department"/>
        <s v="Advanced Manufacturing &amp; Services Expert Consulting Department"/>
        <s v="Advanced Manufacturing and Energy &amp; Natural Resources Practice Department"/>
        <s v="Advanced Manufacturing and Services Practice Department"/>
        <s v="Advisor Department"/>
        <s v="Advisory Partner Department"/>
        <s v="AI Insights and Solutions Practice Department"/>
        <s v="AIS Application Engineering Department"/>
        <s v="AIS CoE Data Science and Machine Learning Engineering Department"/>
        <s v="AIS CoE Engineering Department"/>
        <s v="AIS Data Architecture &amp; Engineering Department"/>
        <s v="AIS Data Science and Machine Learning Engineering Department"/>
        <s v="AIS Designers Department"/>
        <s v="AIS Expert Consulting Department"/>
        <s v="AIS Insights Department"/>
        <s v="AIS Primary Research Department"/>
        <s v="AIS Product Management &amp; Innovation Department"/>
        <s v="AMER Creative Services Department"/>
        <s v="AMER Legal Services Department"/>
        <s v="AMER Research and Data Services Department"/>
        <s v="Americas AP/T&amp;E Department"/>
        <s v="Americas Finance Leadership Department"/>
        <s v="Americas Financial Planning &amp; Analysis Department"/>
        <s v="Americas HR and Talent Department"/>
        <s v="Americas Local Finance Department"/>
        <s v="Americas Market Reputation Department"/>
        <s v="Americas Payroll Department"/>
        <s v="Americas PEG Talent and Operations Department"/>
        <s v="Americas Revenue &amp; Receivables Department"/>
        <s v="Americas Talent Acquisition Operations Department"/>
        <s v="APAC AP/T&amp;E Department"/>
        <s v="APAC Creative Services Department"/>
        <s v="APAC Finance Department"/>
        <s v="APAC GBS Finance Department"/>
        <s v="APAC HR and Talent Department"/>
        <s v="APAC Legal Services Department"/>
        <s v="APAC Local Finance Department"/>
        <s v="APAC Market Reputation Department"/>
        <s v="APAC PEG Talent and Operations Department"/>
        <s v="APAC Research and Data Services Department"/>
        <s v="Architecture Department"/>
        <s v="Automation Department"/>
        <s v="Background Screening Department"/>
        <s v="Bain Academy Department"/>
        <s v="Bain Alumni Community Department"/>
        <s v="Bain Capability Network - New Delhi Department"/>
        <s v="Bain Capability Network Department"/>
        <s v="Bain Career Advisory Department"/>
        <s v="Bain Executive Network Department"/>
        <s v="BCN Academy Department"/>
        <s v="BCN AMS Department"/>
        <s v="BCN Australia-SEA Department"/>
        <s v="BCN Capabilities Department"/>
        <s v="BCN Commercial Excellence Coro Department"/>
        <s v="BCN Consumer Products and Retail Department"/>
        <s v="BCN Consumer Products Department"/>
        <s v="BCN Corporate Finance and Strategy Department"/>
        <s v="BCN Corporate Finance Department"/>
        <s v="BCN Cost Transformation and Procurement Department"/>
        <s v="BCN Cost Transformation Department"/>
        <s v="BCN Customer - Pricing, CE, MCX Department"/>
        <s v="BCN Data &amp; Insights Capabilities Department"/>
        <s v="BCN Data &amp; Insights Department"/>
        <s v="BCN Data &amp; Insights Industries Department"/>
        <s v="BCN Data &amp; Tech Department"/>
        <s v="BCN Data Businesses Department"/>
        <s v="BCN Department (History)"/>
        <s v="BCN ENR Department"/>
        <s v="BCN Enterprise Technology Department"/>
        <s v="BCN Financial Services Department"/>
        <s v="BCN Flex Department"/>
        <s v="BCN Healthcare Department"/>
        <s v="BCN HR and Talent Department"/>
        <s v="BCN India CoE Department"/>
        <s v="BCN Industries Department"/>
        <s v="BCN Labs Department"/>
        <s v="BCN Nucleus Department"/>
        <s v="BCN Operations Excellence Department"/>
        <s v="BCN PEG Americas Department"/>
        <s v="BCN PEG APAC Department"/>
        <s v="BCN PEG Department"/>
        <s v="BCN PEG EMEA and APAC Department"/>
        <s v="BCN PEG EMEA Department"/>
        <s v="BCN People &amp; ORG Department"/>
        <s v="BCN Performance Improvement Department"/>
        <s v="BCN Pricing Department"/>
        <s v="BCN Recruiting Department"/>
        <s v="BCN Retail Department"/>
        <s v="BCN S&amp;M Transformation Department"/>
        <s v="BCN Strategy Department"/>
        <s v="BCN Supply Chain and MVP Labs Department"/>
        <s v="BCN Sustainability Department"/>
        <s v="BCN Tech Media and Telecom Department"/>
        <s v="BCN TMT Department"/>
        <s v="BCN Visualization Department"/>
        <s v="Brand Department"/>
        <s v="Brand Design Department"/>
        <s v="Brand Management &amp; Operations Department"/>
        <s v="Brand Studio Social Media Department"/>
        <s v="Business Development Department"/>
        <s v="Career Development Department"/>
        <s v="Central Legal Department"/>
        <s v="Client Capability Building Department"/>
        <s v="Communications, Media, and Entertainment Expert Consulting Department"/>
        <s v="Consultant Talent Acquisition Department"/>
        <s v="Consulting Department"/>
        <s v="Consulting Support/Case Team Assistant Department"/>
        <s v="Consumer Products &amp; Retail Practice Department"/>
        <s v="Consumer Products Expert Consulting Department"/>
        <s v="Consumer Products Practice Department"/>
        <s v="Core Innovation Team Department"/>
        <s v="Coro Department"/>
        <s v="Corporate Affairs Department"/>
        <s v="Creative Services (History)"/>
        <s v="CRM Department"/>
        <s v="Customer Affiliate Department"/>
        <s v="Customer Expert Consulting Department"/>
        <s v="Customer Practice Department"/>
        <s v="Data Businesses (Other) Department"/>
        <s v="DealEdge Department"/>
        <s v="DEI Learning and Development Department"/>
        <s v="DEI Strategy and Operations Department"/>
        <s v="Digital Campaigns Department"/>
        <s v="Digital Foundations Department"/>
        <s v="Digital Mailings Department"/>
        <s v="Digital Marketing Department"/>
        <s v="Editorial Department"/>
        <s v="EMEA AP/T&amp;E Department"/>
        <s v="EMEA Creative Services Department"/>
        <s v="EMEA Finance Department"/>
        <s v="EMEA GBS Finance Department"/>
        <s v="EMEA HR and Talent Department"/>
        <s v="EMEA Human Resources Department"/>
        <s v="EMEA Legal Services Department"/>
        <s v="EMEA Local Finance Department"/>
        <s v="EMEA Market Reputation Department"/>
        <s v="EMEA PEG Talent and Operations Department"/>
        <s v="EMEA Research and Data Services Department"/>
        <s v="EMEA Talent Acquisition Operations Department"/>
        <s v="Employer Branding Department"/>
        <s v="Employment Law Department"/>
        <s v="Energy &amp; Natural Resources Expert Consulting Department"/>
        <s v="Energy &amp; Natural Resources Practice Department"/>
        <s v="Engine 2 Strategy &amp; Operations Department"/>
        <s v="Enterprise Technology Affiliate Department"/>
        <s v="Enterprise Technology Expert Consulting Department"/>
        <s v="Enterprise Technology Practice Department"/>
        <s v="Executive/Manager Assistant Department"/>
        <s v="Experienced Talent Recruiting Department"/>
        <s v="Expert Consulting Department"/>
        <s v="Expert Talent Management Department"/>
        <s v="External Talent Function Department"/>
        <s v="Facilities Department"/>
        <s v="Finance (History)"/>
        <s v="Financial Services Expert Consulting Department"/>
        <s v="Financial Services Practice Department"/>
        <s v="Financial Technology Department"/>
        <s v="Founder's Studio Department"/>
        <s v="FRWD Department"/>
        <s v="FRWD Operations Department"/>
        <s v="Future Back Ventures Department"/>
        <s v="GBS HR and Talent Department"/>
        <s v="GBS Recruiting Department"/>
        <s v="General Knowledge Management Department"/>
        <s v="Global Benefits Department"/>
        <s v="Global BEST Department"/>
        <s v="Global Business Services Department"/>
        <s v="Global Commercial Operations Department"/>
        <s v="Global Compensation Department"/>
        <s v="Global Compliance Department"/>
        <s v="Global Consulting Staff Talent Management Department"/>
        <s v="Global Corporate Card Department"/>
        <s v="Global CSS Talent Management Department"/>
        <s v="Global Culture and Employer Branding Department"/>
        <s v="Global Employee Relations Department"/>
        <s v="Global Engineering Department"/>
        <s v="Global Events Department"/>
        <s v="Global Financial Accounting Department"/>
        <s v="Global Financial Planning &amp; Analysis Department"/>
        <s v="Global Financial Systems Department"/>
        <s v="Global Human Capital Department"/>
        <s v="Global Human Capital Systems &amp; Analysis Department"/>
        <s v="Global Marketing Services Department"/>
        <s v="Global Mergers &amp; Acquisitions Department"/>
        <s v="Global Mobility and Immigration Department"/>
        <s v="Global Mobility Department"/>
        <s v="Global Nominating Committee Department"/>
        <s v="Global Operations (History)"/>
        <s v="Global Partner Analysis Department"/>
        <s v="Global Partner Services Department"/>
        <s v="Global Payroll Department"/>
        <s v="Global PD &amp; Performance Department"/>
        <s v="Global PEG Strategy and Operations Department"/>
        <s v="Global People Analytics Department"/>
        <s v="Global Practices Department"/>
        <s v="Global Procurement Department"/>
        <s v="Global Real Estate Department"/>
        <s v="Global Research and Data Services Department"/>
        <s v="Global Risk Department"/>
        <s v="Global Safety and Security Department"/>
        <s v="Global Staffing and NWoW Department"/>
        <s v="Global Sustainability Department"/>
        <s v="Global Talent Acquisition Marketing Department"/>
        <s v="Global Talent Acquisition Transformation Department"/>
        <s v="Global Talent Management Services Department"/>
        <s v="Global Talent Strategy Department"/>
        <s v="Global Tax Department"/>
        <s v="Global Training Department"/>
        <s v="Global Travel Department"/>
        <s v="Global Treasury Department"/>
        <s v="Global Workforce Planning &amp; Staffing Department"/>
        <s v="GRS HR and Talent Department"/>
        <s v="Healthcare &amp; Life Sciences Practice Department"/>
        <s v="Healthcare Expert Consulting Department"/>
        <s v="Helix Department"/>
        <s v="HR and Talent (History)"/>
        <s v="HR Operations Department"/>
        <s v="I&amp;D Strategy and Operations Department"/>
        <s v="I&amp;D Venture Ecosystem Department"/>
        <s v="Internal Communications Department"/>
        <s v="Investment Services Department"/>
        <s v="Knowledge Curation &amp; Support CoE Department"/>
        <s v="Korea Technology Excellence Centre Department"/>
        <s v="Leadership Recruiting Department"/>
        <s v="Legal &amp; Professional Standards Department"/>
        <s v="Local Finance Department"/>
        <s v="Local HR and Talent Department"/>
        <s v="Local Recruiting Department"/>
        <s v="Local Staffing, and Program Management Department"/>
        <s v="M&amp;A Integration and Technical Accounting Department"/>
        <s v="Macro Trends Group Department"/>
        <s v="Market Reputation Department"/>
        <s v="Marketing (History)"/>
        <s v="Marketing Analytics Department"/>
        <s v="Marketing Events Department"/>
        <s v="Marketing Strategy and Operations Department"/>
        <s v="Mergers &amp; Acquisition Expert Consulting Department"/>
        <s v="Mergers &amp; Acquisitions Practice Department"/>
        <s v="MyCX Department"/>
        <s v="New Ways of Working Department"/>
        <s v="Next Generation Customer Success and Operations Department"/>
        <s v="Next Generation Engineering and Innovation Department"/>
        <s v="NPS Prism Department"/>
        <s v="NPSx"/>
        <s v="Office of the RMP Department"/>
        <s v="Office of the WWMP Department"/>
        <s v="Oil &amp; Gas Practice Department"/>
        <s v="Operations Creative Services Department"/>
        <s v="OPEX Engine Department"/>
        <s v="Organization Expert Consulting Department"/>
        <s v="Organization Practice Department"/>
        <s v="Partner Coaching Department"/>
        <s v="Partner Department"/>
        <s v="PEG Innovation Department"/>
        <s v="PEGAR Department"/>
        <s v="PEGAR Execution Team Department"/>
        <s v="PEGAR Program Office Department"/>
        <s v="Performance Acceleration Center Department"/>
        <s v="Performance Improvement Affiliate Department"/>
        <s v="Performance Improvement Expert Consulting Department"/>
        <s v="Performance Improvement Practice Department"/>
        <s v="PPK Leadership (History)"/>
        <s v="PPK Practice Team (History)"/>
        <s v="PPK Program Management Department"/>
        <s v="PPK Strategy and Operations Department"/>
        <s v="Practice &amp; Commercial Editors Department"/>
        <s v="Practice Marketing Department"/>
        <s v="Print &amp; Online Media Department"/>
        <s v="Private Equity Data Governance Department"/>
        <s v="Private Equity Data Venture Strategy &amp; Operations Department"/>
        <s v="Private Equity Expert Consulting Department"/>
        <s v="Private Equity Practice Department"/>
        <s v="Private Equity Strategy and Operations Department"/>
        <s v="Process Excellence Department"/>
        <s v="Product, Practice &amp; Knowledge Department"/>
        <s v="Public Relations and External Communications Department"/>
        <s v="Pyxis Department"/>
        <s v="QC &amp; Production Department"/>
        <s v="Qvartz Consulting Department"/>
        <s v="Reception Department"/>
        <s v="Recruiting Ops &amp; Systems Department"/>
        <s v="Regional DEI Department"/>
        <s v="Regional Executive/Manager Assistant Department"/>
        <s v="Relationship Marketing Department"/>
        <s v="Reporting and Analytics CoE Department"/>
        <s v="Research and Data Services Department"/>
        <s v="Retail Expert Consulting Department"/>
        <s v="Retail Practice Department"/>
        <s v="Social Impact Expert Consulting Department"/>
        <s v="Social Impact Practice Department"/>
        <s v="Software and Data Commercialization Department"/>
        <s v="Specialist Consulting Department"/>
        <s v="SPS Department"/>
        <s v="Strategy &amp; Transformation Expert Consulting Department"/>
        <s v="Strategy Expert Consulting Department"/>
        <s v="Strategy Practice Department"/>
        <s v="Sustainability &amp; Corporate Responsibility Expert Consulting Department"/>
        <s v="Sustainability &amp; Responsibility Practice Department"/>
        <s v="Talent Acquisition Assessment Department"/>
        <s v="Talent Acquisition DEI Department"/>
        <s v="Talent Acquisition Learning and Development Department"/>
        <s v="Talent Acquisition Shared Services Department"/>
        <s v="Talent Acquisition Sourcing Department"/>
        <s v="Talent Acquisition Tools and Technology Department"/>
        <s v="Talent Mgmt COE (History)"/>
        <s v="Tech Solutions - BSS Architecture &amp; Engineering Department"/>
        <s v="Tech Solutions - BSS Data &amp; Analytics Department"/>
        <s v="Tech Solutions - BSS Finance Apps Department"/>
        <s v="Tech Solutions - BSS Knowledge Management Department"/>
        <s v="Tech Solutions - BSS Legal &amp; Risk Apps Department"/>
        <s v="Tech Solutions - BSS Marketing &amp; Commercial Apps Department"/>
        <s v="Tech Solutions - BSS PEG Apps Department"/>
        <s v="Tech Solutions - BSS Talent Apps Department"/>
        <s v="Tech Solutions - Cyber Architecture &amp; Engineering Department"/>
        <s v="Tech Solutions - Cyber Identity &amp; Access Department"/>
        <s v="Tech Solutions - Cyber Risk Management Department"/>
        <s v="Tech Solutions - Cyber Security &amp; Portfolio Management Department"/>
        <s v="Tech Solutions - Cyber Threat Management Department"/>
        <s v="Tech Solutions - DWX Collaboration Engineering Department"/>
        <s v="Tech Solutions - DWX Consultant Productivity Product Department"/>
        <s v="Tech Solutions - DWX Core Workplace Product Department"/>
        <s v="Tech Solutions - DWX Desktop Engineering Department"/>
        <s v="Tech Solutions - DWX Digital Asset Management Department"/>
        <s v="Tech Solutions - DWX Network Engineering Department"/>
        <s v="Tech Solutions - DWX Platform Engineering Department"/>
        <s v="Tech Solutions - Enterprise Innovation &amp; Architecture Department"/>
        <s v="Tech Solutions - Global TechOps Infrastructure Department"/>
        <s v="Tech Solutions - Global TechOps Platform Infra Department"/>
        <s v="Tech Solutions - Global TechOps ServiceNow Department"/>
        <s v="Tech Solutions - Global TechOps Support Department"/>
        <s v="Tech Solutions - Leadership Department"/>
        <s v="Tech Solutions - NGSS Architecture &amp; Engineering Department"/>
        <s v="Tech Solutions - NGSS Customer Success Department"/>
        <s v="Tech Solutions - NGSS Product Design Department"/>
        <s v="Tech Solutions - NGSS Product Management Department"/>
        <s v="Tech Solutions - OCIO Agile, Culture &amp; Engagement Department"/>
        <s v="Tech Solutions - OCIO Business Operations Department"/>
        <s v="Tech Solutions - OCIO Portfolio &amp; Program Management Department"/>
        <s v="Technology &amp; Cloud Services Expert Consulting Department"/>
        <s v="Technology Delivery Department"/>
        <s v="Technology Innovation Pipeline Department"/>
        <s v="Technology Insights Group Department"/>
        <s v="Technology Insights Group Operations Department"/>
        <s v="Telecommunications-Media-Technology Practice Department"/>
        <s v="Transformation &amp; Change Expert Consulting Department"/>
        <s v="Transformation Office Department"/>
        <s v="TSG Business Process Enablement Department"/>
        <s v="TSG Digital Workplace Experience Department"/>
        <s v="TSG Information Security Department"/>
        <s v="TSG Infrastructure Department"/>
        <s v="Unknown Department"/>
        <s v="Vector Corporate Development Department"/>
        <s v="Vector Digital Practice Department"/>
        <s v="Vector Talent &amp; Operations Department"/>
        <s v="Venture Development Department"/>
        <s v="Venture Ecosystem Department"/>
        <s v="Video Department"/>
      </sharedItems>
    </cacheField>
    <cacheField name="Sub-Function" numFmtId="0">
      <sharedItems containsBlank="1" count="63">
        <s v="AI, Insights and Solutions Sub-Function"/>
        <s v="Talent Acquisition Teams Sub-Function"/>
        <s v="Practice &amp; Account Marketing Sub-Function"/>
        <s v="Global Finance Sub-Function"/>
        <s v="Innovation &amp; Design Sub-Function"/>
        <s v="Expert Consulting Sub-Function"/>
        <s v="Practice Teams Sub-Function"/>
        <s v="General Consulting Sub-Function"/>
        <s v="Creative Services Sub-Function"/>
        <s v="Regional Legal Services Sub-Function"/>
        <m/>
        <s v="Americas Finance Sub-Function"/>
        <s v="Human Resources &amp; Talent Management Sub-Function"/>
        <s v="Market Reputation Sub-Function"/>
        <s v="PE Strategy, Operations &amp; Talent Sub-Function"/>
        <s v="Talent Acquisition CoE Sub-Function"/>
        <s v="APAC Finance Sub-Function"/>
        <s v="GBS Finance Sub-Function"/>
        <s v="Enterprise Tech Sub-Function"/>
        <s v="Global Employee Relations, Safety and Security Sub-Function"/>
        <s v="Alumni and Client Talent Advisory Sub-Function"/>
        <s v="Employee Experience Sub-Function"/>
        <s v="Brand Studio Sub-Function"/>
        <s v="Global Legal Services Sub-Function"/>
        <s v="Global Training Sub-Function"/>
        <s v="Local Operations Sub-Function"/>
        <s v="External Affairs Sub-Function"/>
        <s v="Global Commercial Operations Sub-Function"/>
        <s v="Dedicated Affiliate Sub-Function"/>
        <s v="Private Equity Data Ventures Sub-Function"/>
        <s v="DEI COE Sub-Function"/>
        <s v="Digital Marketing Sub-Function"/>
        <s v="Editorial Sub-Function"/>
        <s v="EMEA Finance Sub-Function"/>
        <s v="Staffing &amp; Program Management Sub-Function"/>
        <s v="Expertise Delivery Sub-Function"/>
        <s v="FRWD Sub-Function"/>
        <s v="Compensation, Benefits and Mobility Sub-Function"/>
        <s v="Global Operations Sub-Function"/>
        <s v="Global Compliance Sub-Function"/>
        <s v="Talent Management COE Sub-Function"/>
        <s v="Global Partner Services &amp; Analysis Sub-Function"/>
        <s v="Talent Strategy, Analytics and Systems Sub-Function"/>
        <s v="PPK Program Office Sub-Function"/>
        <s v="Global Risk, Safety and Security Sub-Function"/>
        <s v="PEG Innovation Sub-Function"/>
        <s v="Other New Services Sub-Function"/>
        <s v="Next Generation Software Solutions Sub-Function"/>
        <s v="NPS Prism Sub-Function"/>
        <s v="Office of WWMP and RMP Sub-Function"/>
        <s v="Private Equity Service Line Sub-Function"/>
        <s v="Qvartz Sub-Function"/>
        <s v="Relationship Marketing Sub-Function"/>
        <s v="Specialist Consulting Sub-Function"/>
        <s v="Business Software Solutions Sub-Function"/>
        <s v="Information Security Sub-Function"/>
        <s v="Digital Workplace Experience Sub-Function"/>
        <s v="Enterprise Innovation &amp; Architecture Sub-Function"/>
        <s v="Global TechOps &amp; Infrastructure Sub-Function"/>
        <s v="Tech Solutions - Leadership Sub-Function"/>
        <s v="Office of the CIO Sub-Function"/>
        <s v="TSG Sub-Function"/>
        <s v="Technology Insights Group Sub-Function"/>
      </sharedItems>
    </cacheField>
    <cacheField name="People Function" numFmtId="0">
      <sharedItems count="24">
        <s v="Vector Function"/>
        <s v="Talent Acquisition Function"/>
        <s v="Marketing Function"/>
        <s v="Finance Function"/>
        <s v="Expert/Specialist Consulting Function"/>
        <s v="Product, Practice &amp; Knowledge Function"/>
        <s v="General Consulting Function"/>
        <s v="Operations Function"/>
        <s v="Legal Function"/>
        <s v="Research and Data Services Function"/>
        <s v="Talent Management Function"/>
        <s v="Private Equity Service Line Function"/>
        <s v="Capability Delivery Solutions Function"/>
        <s v="Leadership Development Function"/>
        <s v="Bain Capability Network Function"/>
        <s v="Diversity, Equity and Inclusion Function"/>
        <s v="Engine 2 Function"/>
        <s v="Executive / Manager Assistant Function"/>
        <s v="FRWD Function"/>
        <s v="Global/Regional Leadership Function"/>
        <s v="Technology Solutions Group Function"/>
        <s v="Branded Service Line Function"/>
        <s v="Service Line Consulting Function"/>
        <s v="Unknown Function"/>
      </sharedItems>
    </cacheField>
    <cacheField name="dept_short_text" numFmtId="0">
      <sharedItems/>
    </cacheField>
    <cacheField name="dept_long_text" numFmtId="0">
      <sharedItems/>
    </cacheField>
    <cacheField name="sub_function_id_final" numFmtId="0">
      <sharedItems containsBlank="1"/>
    </cacheField>
    <cacheField name="sub_func_short_text" numFmtId="0">
      <sharedItems containsBlank="1"/>
    </cacheField>
    <cacheField name="sub_func_long_text" numFmtId="0">
      <sharedItems containsBlank="1"/>
    </cacheField>
    <cacheField name="function_id_final" numFmtId="0">
      <sharedItems/>
    </cacheField>
    <cacheField name="func_original_short_text" numFmtId="0">
      <sharedItems/>
    </cacheField>
    <cacheField name="func_original" numFmtId="0">
      <sharedItems/>
    </cacheField>
    <cacheField name="func_short_text" numFmtId="0">
      <sharedItems/>
    </cacheField>
    <cacheField name="func_long_displ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x v="0"/>
    <s v="C8"/>
    <x v="0"/>
    <x v="0"/>
    <x v="0"/>
    <s v="Specialized Analytics"/>
    <s v="AAG Specialized Analytics"/>
    <s v="AA_SUB"/>
    <s v="AIS"/>
    <s v="AI, Insights and Solutions"/>
    <s v="VEC"/>
    <s v="Vector"/>
    <s v="Vector"/>
    <s v="Vector"/>
    <s v="Vector"/>
  </r>
  <r>
    <x v="1"/>
    <s v="BX"/>
    <x v="1"/>
    <x v="1"/>
    <x v="1"/>
    <s v="AC TA"/>
    <s v="AC Talent Acquisition"/>
    <s v="RT_SUB"/>
    <s v="TA Teams"/>
    <s v="Talent Acquisition Teams"/>
    <s v="RE"/>
    <s v="Talent Acquisition"/>
    <s v="Talent Acquisition"/>
    <s v="Talent Acquisition"/>
    <s v="Talent Acquisition"/>
  </r>
  <r>
    <x v="1"/>
    <s v="R0"/>
    <x v="2"/>
    <x v="2"/>
    <x v="2"/>
    <s v="Account Marketing"/>
    <s v="Account Marketing"/>
    <s v="AD_SUB"/>
    <s v="Practice &amp; Acct Marketing"/>
    <s v="Practice &amp; Account Marketing"/>
    <s v="F10"/>
    <s v="Marketing"/>
    <s v="Marketing"/>
    <s v="Marketing"/>
    <s v="Marketing"/>
  </r>
  <r>
    <x v="0"/>
    <s v="DV"/>
    <x v="3"/>
    <x v="3"/>
    <x v="3"/>
    <s v="Accounting Trans."/>
    <s v="Accounting Transformation"/>
    <s v="GF_SUB"/>
    <s v="Global Finance"/>
    <s v="Global Finance"/>
    <s v="F3"/>
    <s v="Finance"/>
    <s v="Finance"/>
    <s v="Finance"/>
    <s v="Finance"/>
  </r>
  <r>
    <x v="0"/>
    <s v="AT"/>
    <x v="4"/>
    <x v="4"/>
    <x v="0"/>
    <s v="ADAPT"/>
    <s v="ADAPT"/>
    <s v="ID_SUB"/>
    <s v="I&amp;D"/>
    <s v="Innovation &amp; Design"/>
    <s v="VEC"/>
    <s v="Vector"/>
    <s v="Vector"/>
    <s v="Vector"/>
    <s v="Vector"/>
  </r>
  <r>
    <x v="1"/>
    <s v="L6"/>
    <x v="5"/>
    <x v="5"/>
    <x v="4"/>
    <s v="Advanced Analytics Expert Cons."/>
    <s v="Advanced Analytics Expert Consulting"/>
    <s v="EC_SUB"/>
    <s v="Expert Cons."/>
    <s v="Expert Consulting"/>
    <s v="F2"/>
    <s v="Consulting"/>
    <s v="Consulting"/>
    <s v="Expert/Spec. Cons."/>
    <s v="Expert/Specialist Consulting"/>
  </r>
  <r>
    <x v="1"/>
    <s v="L7"/>
    <x v="6"/>
    <x v="5"/>
    <x v="4"/>
    <s v="Advanced Manufacturing &amp; Services Expert Cons."/>
    <s v="Advanced Manufacturing &amp; Services Expert Consulting"/>
    <s v="EC_SUB"/>
    <s v="Expert Cons."/>
    <s v="Expert Consulting"/>
    <s v="F2"/>
    <s v="Consulting"/>
    <s v="Consulting"/>
    <s v="Expert/Spec. Cons."/>
    <s v="Expert/Specialist Consulting"/>
  </r>
  <r>
    <x v="0"/>
    <s v="D3"/>
    <x v="7"/>
    <x v="6"/>
    <x v="5"/>
    <s v="AMS ENR Practice"/>
    <s v="Advanced Manufacturing and Energy &amp; Natural Resources Practice"/>
    <s v="SP_SUB"/>
    <s v="Practice Teams"/>
    <s v="Practice Teams"/>
    <s v="F15"/>
    <s v="PPK"/>
    <s v="Product, Practice &amp; Knowledge"/>
    <s v="PPK"/>
    <s v="Product, Practice &amp; Knowledge"/>
  </r>
  <r>
    <x v="1"/>
    <s v="E1"/>
    <x v="8"/>
    <x v="6"/>
    <x v="5"/>
    <s v="AMS Practice"/>
    <s v="Advanced Manufacturing and Services Practice"/>
    <s v="SP_SUB"/>
    <s v="Practice Teams"/>
    <s v="Practice Teams"/>
    <s v="F15"/>
    <s v="PPK"/>
    <s v="Product, Practice &amp; Knowledge"/>
    <s v="PPK"/>
    <s v="Product, Practice &amp; Knowledge"/>
  </r>
  <r>
    <x v="1"/>
    <s v="AD"/>
    <x v="9"/>
    <x v="7"/>
    <x v="6"/>
    <s v="Advisor"/>
    <s v="Advisor"/>
    <s v="NEW_GC_SUB"/>
    <s v="Gen. Cons."/>
    <s v="General Consulting"/>
    <s v="F1"/>
    <s v="Advisors"/>
    <s v="Advisors"/>
    <s v="Gen Cons."/>
    <s v="General Consulting"/>
  </r>
  <r>
    <x v="1"/>
    <s v="AP"/>
    <x v="10"/>
    <x v="7"/>
    <x v="6"/>
    <s v="Advisory Partner"/>
    <s v="Advisory Partner"/>
    <s v="NEW_GC_SUB"/>
    <s v="Gen. Cons."/>
    <s v="General Consulting"/>
    <s v="F1"/>
    <s v="Advisors"/>
    <s v="Advisors"/>
    <s v="Gen Cons."/>
    <s v="General Consulting"/>
  </r>
  <r>
    <x v="0"/>
    <s v="AN"/>
    <x v="11"/>
    <x v="6"/>
    <x v="5"/>
    <s v="AI Insights &amp; Solutions Practice"/>
    <s v="AI Insights and Solutions Practice"/>
    <s v="SP_SUB"/>
    <s v="Practice Teams"/>
    <s v="Practice Teams"/>
    <s v="F15"/>
    <s v="PPK"/>
    <s v="Product, Practice &amp; Knowledge"/>
    <s v="PPK"/>
    <s v="Product, Practice &amp; Knowledge"/>
  </r>
  <r>
    <x v="1"/>
    <s v="HG"/>
    <x v="11"/>
    <x v="6"/>
    <x v="5"/>
    <s v="AI Insights &amp; Solutions Practice"/>
    <s v="AI Insights and Solutions Practice"/>
    <s v="SP_SUB"/>
    <s v="Practice Teams"/>
    <s v="Practice Teams"/>
    <s v="F15"/>
    <s v="PPK"/>
    <s v="Product, Practice &amp; Knowledge"/>
    <s v="PPK"/>
    <s v="Product, Practice &amp; Knowledge"/>
  </r>
  <r>
    <x v="0"/>
    <s v="IV"/>
    <x v="11"/>
    <x v="6"/>
    <x v="5"/>
    <s v="AI Insights &amp; Solutions Practice"/>
    <s v="AI Insights and Solutions Practice"/>
    <s v="SP_SUB"/>
    <s v="Practice Teams"/>
    <s v="Practice Teams"/>
    <s v="F15"/>
    <s v="PPK"/>
    <s v="Product, Practice &amp; Knowledge"/>
    <s v="PPK"/>
    <s v="Product, Practice &amp; Knowledge"/>
  </r>
  <r>
    <x v="1"/>
    <s v="BZ"/>
    <x v="12"/>
    <x v="0"/>
    <x v="0"/>
    <s v="App Engineering"/>
    <s v="AIS Application Engineering"/>
    <s v="AA_SUB"/>
    <s v="AIS"/>
    <s v="AI, Insights and Solutions"/>
    <s v="VEC"/>
    <s v="Vector"/>
    <s v="Vector"/>
    <s v="Vector"/>
    <s v="Vector"/>
  </r>
  <r>
    <x v="1"/>
    <s v="EJ"/>
    <x v="13"/>
    <x v="0"/>
    <x v="0"/>
    <s v="AIS COE DS &amp; ML Eng."/>
    <s v="AIS CoE Data Science and Machine Learning Engineering"/>
    <s v="AA_SUB"/>
    <s v="AIS"/>
    <s v="AI, Insights and Solutions"/>
    <s v="VEC"/>
    <s v="Vector"/>
    <s v="Vector"/>
    <s v="Vector"/>
    <s v="Vector"/>
  </r>
  <r>
    <x v="1"/>
    <s v="HF"/>
    <x v="14"/>
    <x v="0"/>
    <x v="0"/>
    <s v="AIS COE Engineering"/>
    <s v="AIS COE Engineering"/>
    <s v="AA_SUB"/>
    <s v="AIS"/>
    <s v="AI, Insights and Solutions"/>
    <s v="VEC"/>
    <s v="Vector"/>
    <s v="Vector"/>
    <s v="Vector"/>
    <s v="Vector"/>
  </r>
  <r>
    <x v="1"/>
    <s v="C5"/>
    <x v="15"/>
    <x v="0"/>
    <x v="0"/>
    <s v="AID Architecture &amp; Engineering"/>
    <s v="AIS Data Architecture &amp; Engineering"/>
    <s v="AA_SUB"/>
    <s v="AIS"/>
    <s v="AI, Insights and Solutions"/>
    <s v="VEC"/>
    <s v="Vector"/>
    <s v="Vector"/>
    <s v="Vector"/>
    <s v="Vector"/>
  </r>
  <r>
    <x v="1"/>
    <s v="MK"/>
    <x v="16"/>
    <x v="0"/>
    <x v="0"/>
    <s v="AIS DS &amp; ML Eng."/>
    <s v="AIS Data Science and Machine Learning Engineering"/>
    <s v="AA_SUB"/>
    <s v="AIS"/>
    <s v="AI, Insights and Solutions"/>
    <s v="VEC"/>
    <s v="Vector"/>
    <s v="Vector"/>
    <s v="Vector"/>
    <s v="Vector"/>
  </r>
  <r>
    <x v="1"/>
    <s v="C9"/>
    <x v="17"/>
    <x v="0"/>
    <x v="0"/>
    <s v="Designers"/>
    <s v="AIS Designers"/>
    <s v="AA_SUB"/>
    <s v="AIS"/>
    <s v="AI, Insights and Solutions"/>
    <s v="VEC"/>
    <s v="Vector"/>
    <s v="Vector"/>
    <s v="Vector"/>
    <s v="Vector"/>
  </r>
  <r>
    <x v="1"/>
    <s v="HI"/>
    <x v="18"/>
    <x v="5"/>
    <x v="4"/>
    <s v="AIS Expert Cons."/>
    <s v="AIS Expert Consulting"/>
    <s v="EC_SUB"/>
    <s v="Expert Cons."/>
    <s v="Expert Consulting"/>
    <s v="F2"/>
    <s v="Consulting"/>
    <s v="Consulting"/>
    <s v="Expert/Spec. Cons."/>
    <s v="Expert/Specialist Consulting"/>
  </r>
  <r>
    <x v="1"/>
    <s v="C6"/>
    <x v="19"/>
    <x v="0"/>
    <x v="0"/>
    <s v="Insights"/>
    <s v="AIS Insights"/>
    <s v="AA_SUB"/>
    <s v="AIS"/>
    <s v="AI, Insights and Solutions"/>
    <s v="VEC"/>
    <s v="Vector"/>
    <s v="Vector"/>
    <s v="Vector"/>
    <s v="Vector"/>
  </r>
  <r>
    <x v="1"/>
    <s v="XH"/>
    <x v="20"/>
    <x v="0"/>
    <x v="0"/>
    <s v="Primary Research"/>
    <s v="AIS Primary Research"/>
    <s v="AA_SUB"/>
    <s v="AIS"/>
    <s v="AI, Insights and Solutions"/>
    <s v="VEC"/>
    <s v="Vector"/>
    <s v="Vector"/>
    <s v="Vector"/>
    <s v="Vector"/>
  </r>
  <r>
    <x v="1"/>
    <s v="CJ"/>
    <x v="21"/>
    <x v="0"/>
    <x v="0"/>
    <s v="AIS Product Mgmt &amp; Innov"/>
    <s v="AIS Product Management &amp; Innovation"/>
    <s v="AA_SUB"/>
    <s v="AIS"/>
    <s v="AI, Insights and Solutions"/>
    <s v="VEC"/>
    <s v="Vector"/>
    <s v="Vector"/>
    <s v="Vector"/>
    <s v="Vector"/>
  </r>
  <r>
    <x v="0"/>
    <s v="XE"/>
    <x v="21"/>
    <x v="4"/>
    <x v="0"/>
    <s v="AIS Product Mgmt &amp; Innov"/>
    <s v="AIS Product Management &amp; Innovation"/>
    <s v="ID_SUB"/>
    <s v="I&amp;D"/>
    <s v="Innovation &amp; Design"/>
    <s v="VEC"/>
    <s v="Vector"/>
    <s v="Vector"/>
    <s v="Vector"/>
    <s v="Vector"/>
  </r>
  <r>
    <x v="1"/>
    <s v="BG"/>
    <x v="22"/>
    <x v="8"/>
    <x v="7"/>
    <s v="AMER Creative Services"/>
    <s v="AMER Creative Services"/>
    <s v="CS_SUB"/>
    <s v="Creative Services"/>
    <s v="Creative Services"/>
    <s v="F4"/>
    <s v="Ops"/>
    <s v="Operations"/>
    <s v="Ops"/>
    <s v="Operations"/>
  </r>
  <r>
    <x v="1"/>
    <s v="AO"/>
    <x v="23"/>
    <x v="9"/>
    <x v="8"/>
    <s v="AMER Legal Services"/>
    <s v="AMER Legal Services"/>
    <s v="RL_SUB"/>
    <s v="Reg. Legal Services"/>
    <s v="Regional Legal Services"/>
    <s v="F7"/>
    <s v="Legal"/>
    <s v="Legal"/>
    <s v="Legal"/>
    <s v="Legal"/>
  </r>
  <r>
    <x v="1"/>
    <s v="O5"/>
    <x v="24"/>
    <x v="10"/>
    <x v="9"/>
    <s v="AMER RDS"/>
    <s v="AMER Research and Data Services"/>
    <s v=""/>
    <s v=""/>
    <s v=""/>
    <s v="WX"/>
    <s v="RDS"/>
    <s v="Research and Data Services"/>
    <s v="RDS"/>
    <s v="Research and Data Services"/>
  </r>
  <r>
    <x v="1"/>
    <s v="A1"/>
    <x v="25"/>
    <x v="3"/>
    <x v="3"/>
    <s v="AMER AP/T&amp;E"/>
    <s v="Americas AP/T&amp;E"/>
    <s v="GF_SUB"/>
    <s v="Global Finance"/>
    <s v="Global Finance"/>
    <s v="F3"/>
    <s v="Finance"/>
    <s v="Finance"/>
    <s v="Finance"/>
    <s v="Finance"/>
  </r>
  <r>
    <x v="1"/>
    <s v="A5"/>
    <x v="26"/>
    <x v="11"/>
    <x v="3"/>
    <s v="AMER Finance LT"/>
    <s v="Americas Finance Leadership"/>
    <s v="RF_SUB"/>
    <s v="AMER Finance"/>
    <s v="Americas Finance"/>
    <s v="F3"/>
    <s v="Finance"/>
    <s v="Finance"/>
    <s v="Finance"/>
    <s v="Finance"/>
  </r>
  <r>
    <x v="1"/>
    <s v="A2"/>
    <x v="27"/>
    <x v="11"/>
    <x v="3"/>
    <s v="AMER FP&amp;A"/>
    <s v="Americas Financial Planning &amp; Analysis"/>
    <s v="RF_SUB"/>
    <s v="AMER Finance"/>
    <s v="Americas Finance"/>
    <s v="F3"/>
    <s v="Finance"/>
    <s v="Finance"/>
    <s v="Finance"/>
    <s v="Finance"/>
  </r>
  <r>
    <x v="1"/>
    <s v="EH"/>
    <x v="28"/>
    <x v="12"/>
    <x v="10"/>
    <s v="Americas HR and Talent"/>
    <s v="Americas HR and Talent"/>
    <s v="GR_SUB"/>
    <s v="HR &amp; Talent Mgmt."/>
    <s v="Human Resources &amp; Talent Management"/>
    <s v="TH"/>
    <s v="Talent Mgmt."/>
    <s v="Talent Management"/>
    <s v="Talent Mgmt."/>
    <s v="Talent Management"/>
  </r>
  <r>
    <x v="0"/>
    <s v="A9"/>
    <x v="29"/>
    <x v="11"/>
    <x v="3"/>
    <s v="AMER Local Finance"/>
    <s v="Americas Local Finance"/>
    <s v="RF_SUB"/>
    <s v="AMER Finance"/>
    <s v="Americas Finance"/>
    <s v="F3"/>
    <s v="Finance"/>
    <s v="Finance"/>
    <s v="Finance"/>
    <s v="Finance"/>
  </r>
  <r>
    <x v="1"/>
    <s v="PR"/>
    <x v="30"/>
    <x v="13"/>
    <x v="2"/>
    <s v="Americas Market Reputation"/>
    <s v="Americas Market Reputation"/>
    <s v="MR_SUB"/>
    <s v="Market Reputation"/>
    <s v="Market Reputation"/>
    <s v="F10"/>
    <s v="Marketing"/>
    <s v="Marketing"/>
    <s v="Marketing"/>
    <s v="Marketing"/>
  </r>
  <r>
    <x v="1"/>
    <s v="A4"/>
    <x v="31"/>
    <x v="3"/>
    <x v="3"/>
    <s v="AMER Payroll"/>
    <s v="Americas Payroll"/>
    <s v="GF_SUB"/>
    <s v="Global Finance"/>
    <s v="Global Finance"/>
    <s v="F3"/>
    <s v="Finance"/>
    <s v="Finance"/>
    <s v="Finance"/>
    <s v="Finance"/>
  </r>
  <r>
    <x v="1"/>
    <s v="WB"/>
    <x v="32"/>
    <x v="14"/>
    <x v="11"/>
    <s v="Americas PEG Talent and Operations"/>
    <s v="Americas PEG Talent and Operations"/>
    <s v="SQ_SUB"/>
    <s v="PE Strategy, Ops, Talent"/>
    <s v="PE Strategy, Operations &amp; Talent"/>
    <s v="VF"/>
    <s v="PE Service Line"/>
    <s v="Private Equity Service Line"/>
    <s v="PE Service Line"/>
    <s v="Private Equity Service Line"/>
  </r>
  <r>
    <x v="1"/>
    <s v="A3"/>
    <x v="33"/>
    <x v="11"/>
    <x v="3"/>
    <s v="AMER R&amp;R"/>
    <s v="Americas Revenue &amp; Receivables"/>
    <s v="RF_SUB"/>
    <s v="AMER Finance"/>
    <s v="Americas Finance"/>
    <s v="F3"/>
    <s v="Finance"/>
    <s v="Finance"/>
    <s v="Finance"/>
    <s v="Finance"/>
  </r>
  <r>
    <x v="1"/>
    <s v="EY"/>
    <x v="34"/>
    <x v="15"/>
    <x v="1"/>
    <s v="Americas TA Ops"/>
    <s v="Americas Talent Acquisition Operations"/>
    <s v="RC_SUB"/>
    <s v="TA CoE"/>
    <s v="Talent Acquisition CoE"/>
    <s v="RE"/>
    <s v="Talent Acquisition"/>
    <s v="Talent Acquisition"/>
    <s v="Talent Acquisition"/>
    <s v="Talent Acquisition"/>
  </r>
  <r>
    <x v="1"/>
    <s v="AB"/>
    <x v="35"/>
    <x v="3"/>
    <x v="3"/>
    <s v="APAC AP/T&amp;E"/>
    <s v="APAC AP/T&amp;E"/>
    <s v="GF_SUB"/>
    <s v="Global Finance"/>
    <s v="Global Finance"/>
    <s v="F3"/>
    <s v="Finance"/>
    <s v="Finance"/>
    <s v="Finance"/>
    <s v="Finance"/>
  </r>
  <r>
    <x v="1"/>
    <s v="BJ"/>
    <x v="36"/>
    <x v="8"/>
    <x v="7"/>
    <s v="APAC Creative Services"/>
    <s v="APAC Creative Services"/>
    <s v="CS_SUB"/>
    <s v="Creative Services"/>
    <s v="Creative Services"/>
    <s v="F4"/>
    <s v="Ops"/>
    <s v="Operations"/>
    <s v="Ops"/>
    <s v="Operations"/>
  </r>
  <r>
    <x v="1"/>
    <s v="AF"/>
    <x v="37"/>
    <x v="16"/>
    <x v="3"/>
    <s v="APAC Finance"/>
    <s v="APAC Finance"/>
    <s v="AF_SUB"/>
    <s v="APAC Finance"/>
    <s v="APAC Finance"/>
    <s v="F3"/>
    <s v="Finance"/>
    <s v="Finance"/>
    <s v="Finance"/>
    <s v="Finance"/>
  </r>
  <r>
    <x v="1"/>
    <s v="VB"/>
    <x v="38"/>
    <x v="17"/>
    <x v="3"/>
    <s v="APAC GBS Finance"/>
    <s v="APAC GBS Finance"/>
    <s v="SS_SUB"/>
    <s v="GBS Finance"/>
    <s v="GBS Finance"/>
    <s v="F3"/>
    <s v="Finance"/>
    <s v="Finance"/>
    <s v="Finance"/>
    <s v="Finance"/>
  </r>
  <r>
    <x v="1"/>
    <s v="RC"/>
    <x v="39"/>
    <x v="12"/>
    <x v="10"/>
    <s v="APAC HR and Talent"/>
    <s v="APAC HR and Talent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AQ"/>
    <x v="40"/>
    <x v="9"/>
    <x v="8"/>
    <s v="APAC Legal Services"/>
    <s v="APAC Legal Services"/>
    <s v="RL_SUB"/>
    <s v="Reg. Legal Services"/>
    <s v="Regional Legal Services"/>
    <s v="F7"/>
    <s v="Legal"/>
    <s v="Legal"/>
    <s v="Legal"/>
    <s v="Legal"/>
  </r>
  <r>
    <x v="1"/>
    <s v="AH"/>
    <x v="41"/>
    <x v="16"/>
    <x v="3"/>
    <s v="APAC Local Finance"/>
    <s v="APAC Local Finance"/>
    <s v="AF_SUB"/>
    <s v="APAC Finance"/>
    <s v="APAC Finance"/>
    <s v="F3"/>
    <s v="Finance"/>
    <s v="Finance"/>
    <s v="Finance"/>
    <s v="Finance"/>
  </r>
  <r>
    <x v="1"/>
    <s v="MX"/>
    <x v="42"/>
    <x v="13"/>
    <x v="2"/>
    <s v="APAC Market Reputation"/>
    <s v="APAC Market Reputation"/>
    <s v="MR_SUB"/>
    <s v="Market Reputation"/>
    <s v="Market Reputation"/>
    <s v="F10"/>
    <s v="Marketing"/>
    <s v="Marketing"/>
    <s v="Marketing"/>
    <s v="Marketing"/>
  </r>
  <r>
    <x v="0"/>
    <s v="WC"/>
    <x v="43"/>
    <x v="14"/>
    <x v="11"/>
    <s v="APAC PEG Talent and Operations"/>
    <s v="APAC PEG Talent and Operations"/>
    <s v="SQ_SUB"/>
    <s v="PE Strategy, Ops, Talent"/>
    <s v="PE Strategy, Operations &amp; Talent"/>
    <s v="VF"/>
    <s v="PE Service Line"/>
    <s v="Private Equity Service Line"/>
    <s v="PE Service Line"/>
    <s v="Private Equity Service Line"/>
  </r>
  <r>
    <x v="1"/>
    <s v="O2"/>
    <x v="44"/>
    <x v="10"/>
    <x v="9"/>
    <s v="APAC RDS"/>
    <s v="APAC Research and Data Services"/>
    <s v=""/>
    <s v=""/>
    <s v=""/>
    <s v="WX"/>
    <s v="RDS"/>
    <s v="Research and Data Services"/>
    <s v="RDS"/>
    <s v="Research and Data Services"/>
  </r>
  <r>
    <x v="1"/>
    <s v="UZ"/>
    <x v="45"/>
    <x v="18"/>
    <x v="0"/>
    <s v="Architecture"/>
    <s v="Architecture"/>
    <s v="ET_SUB"/>
    <s v="Enterprise Tech"/>
    <s v="Enterprise Tech"/>
    <s v="VEC"/>
    <s v="Vector"/>
    <s v="Vector"/>
    <s v="Vector"/>
    <s v="Vector"/>
  </r>
  <r>
    <x v="0"/>
    <s v="AU"/>
    <x v="46"/>
    <x v="10"/>
    <x v="12"/>
    <s v="Automation"/>
    <s v="Automation"/>
    <s v=""/>
    <s v=""/>
    <s v=""/>
    <s v="WU"/>
    <s v="Capability Delivery"/>
    <s v="Capability Delivery Solutions"/>
    <s v="Capability Delivery"/>
    <s v="Capability Delivery Solutions"/>
  </r>
  <r>
    <x v="1"/>
    <s v="HM"/>
    <x v="47"/>
    <x v="19"/>
    <x v="10"/>
    <s v="Background Screening"/>
    <s v="Background Screening"/>
    <s v="ER_SUB"/>
    <s v="ER, Safety, Security"/>
    <s v="Global Employee Relations, Safety and Security"/>
    <s v="TH"/>
    <s v="Talent Mgmt."/>
    <s v="Talent Management"/>
    <s v="Talent Mgmt."/>
    <s v="Talent Management"/>
  </r>
  <r>
    <x v="1"/>
    <s v="BY"/>
    <x v="48"/>
    <x v="10"/>
    <x v="12"/>
    <s v="Bain Academy"/>
    <s v="Bain Academy"/>
    <s v=""/>
    <s v=""/>
    <s v=""/>
    <s v="WU"/>
    <s v="Capability Delivery"/>
    <s v="Capability Delivery Solutions"/>
    <s v="Capability Delivery"/>
    <s v="Capability Delivery Solutions"/>
  </r>
  <r>
    <x v="1"/>
    <s v="AX"/>
    <x v="49"/>
    <x v="20"/>
    <x v="13"/>
    <s v="BAC"/>
    <s v="Bain Alumni Community"/>
    <s v="AC_SUB"/>
    <s v="Alumni and Client"/>
    <s v="Alumni and Client Talent Advisory"/>
    <s v="LD"/>
    <s v="Leadership Dev."/>
    <s v="Leadership Development"/>
    <s v="Leadership Dev."/>
    <s v="Leadership Development"/>
  </r>
  <r>
    <x v="0"/>
    <s v="BP"/>
    <x v="50"/>
    <x v="10"/>
    <x v="14"/>
    <s v="BCN - New Delhi"/>
    <s v="Bain Capability Network - New Delhi"/>
    <s v=""/>
    <s v=""/>
    <s v=""/>
    <s v="BC"/>
    <s v="BCN"/>
    <s v="Bain Capability Network"/>
    <s v="BCN"/>
    <s v="Bain Capability Network"/>
  </r>
  <r>
    <x v="1"/>
    <s v="B1"/>
    <x v="51"/>
    <x v="10"/>
    <x v="14"/>
    <s v="BCN"/>
    <s v="Bain Capability Network"/>
    <s v=""/>
    <s v=""/>
    <s v=""/>
    <s v="BC"/>
    <s v="BCN"/>
    <s v="Bain Capability Network"/>
    <s v="BCN"/>
    <s v="Bain Capability Network"/>
  </r>
  <r>
    <x v="1"/>
    <s v="B0"/>
    <x v="52"/>
    <x v="21"/>
    <x v="10"/>
    <s v="BCA"/>
    <s v="Bain Career Advisory"/>
    <s v="AB_SUB"/>
    <s v="Employee Experience"/>
    <s v="Employee Experience"/>
    <s v="TH"/>
    <s v="Talent Mgmt."/>
    <s v="Talent Management"/>
    <s v="Talent Mgmt."/>
    <s v="Talent Management"/>
  </r>
  <r>
    <x v="1"/>
    <s v="EN"/>
    <x v="53"/>
    <x v="20"/>
    <x v="13"/>
    <s v="BEN"/>
    <s v="Bain Executive Network"/>
    <s v="AC_SUB"/>
    <s v="Alumni and Client"/>
    <s v="Alumni and Client Talent Advisory"/>
    <s v="LD"/>
    <s v="Leadership Dev."/>
    <s v="Leadership Development"/>
    <s v="Leadership Dev."/>
    <s v="Leadership Development"/>
  </r>
  <r>
    <x v="1"/>
    <s v="BA"/>
    <x v="54"/>
    <x v="10"/>
    <x v="14"/>
    <s v="BCN Academy"/>
    <s v="BCN Academy"/>
    <s v=""/>
    <s v=""/>
    <s v=""/>
    <s v="BC"/>
    <s v="BCN"/>
    <s v="Bain Capability Network"/>
    <s v="BCN"/>
    <s v="Bain Capability Network"/>
  </r>
  <r>
    <x v="0"/>
    <s v="BF"/>
    <x v="55"/>
    <x v="10"/>
    <x v="14"/>
    <s v="BCN AMS"/>
    <s v="BCN AMS"/>
    <s v=""/>
    <s v=""/>
    <s v=""/>
    <s v="BC"/>
    <s v="BCN"/>
    <s v="Bain Capability Network"/>
    <s v="BCN"/>
    <s v="Bain Capability Network"/>
  </r>
  <r>
    <x v="1"/>
    <s v="RS"/>
    <x v="55"/>
    <x v="10"/>
    <x v="14"/>
    <s v="BCN AMS"/>
    <s v="BCN AMS"/>
    <m/>
    <m/>
    <m/>
    <s v="BC"/>
    <s v="BCN"/>
    <s v="Bain Capability Network"/>
    <s v="BCN"/>
    <s v="Bain Capability Network"/>
  </r>
  <r>
    <x v="0"/>
    <s v="SE"/>
    <x v="56"/>
    <x v="10"/>
    <x v="14"/>
    <s v="BCN Australia-SEA"/>
    <s v="BCN Australia-SEA"/>
    <s v=""/>
    <s v=""/>
    <s v=""/>
    <s v="BC"/>
    <s v="BCN"/>
    <s v="Bain Capability Network"/>
    <s v="BCN"/>
    <s v="Bain Capability Network"/>
  </r>
  <r>
    <x v="1"/>
    <s v="HV"/>
    <x v="57"/>
    <x v="10"/>
    <x v="14"/>
    <s v="BCN Capabilities"/>
    <s v="BCN Capabilities"/>
    <m/>
    <m/>
    <m/>
    <s v="BC"/>
    <s v="BCN"/>
    <s v="Bain Capability Network"/>
    <s v="BCN"/>
    <s v="Bain Capability Network"/>
  </r>
  <r>
    <x v="0"/>
    <s v="CQ"/>
    <x v="58"/>
    <x v="10"/>
    <x v="14"/>
    <s v="BCN CE Coro"/>
    <s v="BCN Commercial Excellence Coro"/>
    <s v=""/>
    <s v=""/>
    <s v=""/>
    <s v="BC"/>
    <s v="BCN"/>
    <s v="Bain Capability Network"/>
    <s v="BCN"/>
    <s v="Bain Capability Network"/>
  </r>
  <r>
    <x v="0"/>
    <s v="WJ"/>
    <x v="58"/>
    <x v="10"/>
    <x v="14"/>
    <s v="BCN CE Coro"/>
    <s v="BCN Commercial Excellence Coro"/>
    <s v=""/>
    <s v=""/>
    <s v=""/>
    <s v="BC"/>
    <s v="BCN"/>
    <s v="Bain Capability Network"/>
    <s v="BCN"/>
    <s v="Bain Capability Network"/>
  </r>
  <r>
    <x v="1"/>
    <s v="XJ"/>
    <x v="58"/>
    <x v="10"/>
    <x v="14"/>
    <s v="BCN Comm. Exc. Coro"/>
    <s v="BCN Commercial Excellence Coro"/>
    <s v=""/>
    <s v=""/>
    <s v=""/>
    <s v="BC"/>
    <s v="BCN"/>
    <s v="Bain Capability Network"/>
    <s v="BCN"/>
    <s v="Bain Capability Network"/>
  </r>
  <r>
    <x v="0"/>
    <s v="B2"/>
    <x v="59"/>
    <x v="10"/>
    <x v="14"/>
    <s v="BCN CP and Retail"/>
    <s v="BCN Consumer Products and Retail"/>
    <s v=""/>
    <s v=""/>
    <s v=""/>
    <s v="BC"/>
    <s v="BCN"/>
    <s v="Bain Capability Network"/>
    <s v="BCN"/>
    <s v="Bain Capability Network"/>
  </r>
  <r>
    <x v="1"/>
    <s v="VL"/>
    <x v="60"/>
    <x v="10"/>
    <x v="14"/>
    <s v="BCN Cons. Prods."/>
    <s v="BCN Consumer Products"/>
    <s v=""/>
    <s v=""/>
    <s v=""/>
    <s v="BC"/>
    <s v="BCN"/>
    <s v="Bain Capability Network"/>
    <s v="BCN"/>
    <s v="Bain Capability Network"/>
  </r>
  <r>
    <x v="0"/>
    <s v="B4"/>
    <x v="61"/>
    <x v="10"/>
    <x v="14"/>
    <s v="BCN Corp Finance &amp; Strategy"/>
    <s v="BCN Corporate Finance and Strategy"/>
    <s v=""/>
    <s v=""/>
    <s v=""/>
    <s v="BC"/>
    <s v="BCN"/>
    <s v="Bain Capability Network"/>
    <s v="BCN"/>
    <s v="Bain Capability Network"/>
  </r>
  <r>
    <x v="1"/>
    <s v="NC"/>
    <x v="62"/>
    <x v="10"/>
    <x v="14"/>
    <s v="BCN Corp. Finance"/>
    <s v="BCN Corporate Finance"/>
    <s v=""/>
    <s v=""/>
    <s v=""/>
    <s v="BC"/>
    <s v="BCN"/>
    <s v="Bain Capability Network"/>
    <s v="BCN"/>
    <s v="Bain Capability Network"/>
  </r>
  <r>
    <x v="0"/>
    <s v="B9"/>
    <x v="63"/>
    <x v="10"/>
    <x v="14"/>
    <s v="BCN Cost Trans. and Procurement"/>
    <s v="BCN Cost Transformation and Procurement"/>
    <s v=""/>
    <s v=""/>
    <s v=""/>
    <s v="BC"/>
    <s v="BCN"/>
    <s v="Bain Capability Network"/>
    <s v="BCN"/>
    <s v="Bain Capability Network"/>
  </r>
  <r>
    <x v="0"/>
    <s v="NF"/>
    <x v="64"/>
    <x v="10"/>
    <x v="14"/>
    <s v="BCN Cost Trans."/>
    <s v="BCN Cost Transformation"/>
    <s v=""/>
    <s v=""/>
    <s v=""/>
    <s v="BC"/>
    <s v="BCN"/>
    <s v="Bain Capability Network"/>
    <s v="BCN"/>
    <s v="Bain Capability Network"/>
  </r>
  <r>
    <x v="1"/>
    <s v="HQ"/>
    <x v="65"/>
    <x v="10"/>
    <x v="14"/>
    <s v="BCN Cust Pricing, CE , MCX"/>
    <s v="BCN Customer - Pricing, CE, MCX"/>
    <m/>
    <m/>
    <m/>
    <s v="BC"/>
    <s v="BCN"/>
    <s v="Bain Capability Network"/>
    <s v="BCN"/>
    <s v="Bain Capability Network"/>
  </r>
  <r>
    <x v="1"/>
    <s v="ND"/>
    <x v="66"/>
    <x v="10"/>
    <x v="14"/>
    <s v="BCN Data &amp; Insights Cap."/>
    <s v="BCN Data &amp; Insights Capabilities"/>
    <s v=""/>
    <s v=""/>
    <s v=""/>
    <s v="BC"/>
    <s v="BCN"/>
    <s v="Bain Capability Network"/>
    <s v="BCN"/>
    <s v="Bain Capability Network"/>
  </r>
  <r>
    <x v="0"/>
    <s v="DT"/>
    <x v="67"/>
    <x v="10"/>
    <x v="14"/>
    <s v="BCN Data &amp; Insights"/>
    <s v="BCN Data &amp; Insights"/>
    <s v=""/>
    <s v=""/>
    <s v=""/>
    <s v="BC"/>
    <s v="BCN"/>
    <s v="Bain Capability Network"/>
    <s v="BCN"/>
    <s v="Bain Capability Network"/>
  </r>
  <r>
    <x v="1"/>
    <s v="II"/>
    <x v="68"/>
    <x v="10"/>
    <x v="14"/>
    <s v="BCN Data &amp; Insights Ind."/>
    <s v="BCN Data &amp; Insights Industries"/>
    <s v=""/>
    <s v=""/>
    <s v=""/>
    <s v="BC"/>
    <s v="BCN"/>
    <s v="Bain Capability Network"/>
    <s v="BCN"/>
    <s v="Bain Capability Network"/>
  </r>
  <r>
    <x v="1"/>
    <s v="HW"/>
    <x v="69"/>
    <x v="10"/>
    <x v="14"/>
    <s v="BCN Data &amp; Tech"/>
    <s v="BCN Data &amp; Tech"/>
    <m/>
    <m/>
    <m/>
    <s v="BC"/>
    <s v="BCN"/>
    <s v="Bain Capability Network"/>
    <s v="BCN"/>
    <s v="Bain Capability Network"/>
  </r>
  <r>
    <x v="1"/>
    <s v="B7"/>
    <x v="70"/>
    <x v="10"/>
    <x v="14"/>
    <s v="BCN Data Businesses"/>
    <s v="BCN Data Businesses"/>
    <s v=""/>
    <s v=""/>
    <s v=""/>
    <s v="BC"/>
    <s v="BCN"/>
    <s v="Bain Capability Network"/>
    <s v="BCN"/>
    <s v="Bain Capability Network"/>
  </r>
  <r>
    <x v="0"/>
    <s v="XX_BCN"/>
    <x v="71"/>
    <x v="10"/>
    <x v="14"/>
    <s v="BCN (History)"/>
    <s v="BCN (History)"/>
    <s v=""/>
    <s v=""/>
    <s v=""/>
    <s v="BC"/>
    <s v="BCN"/>
    <s v="Bain Capability Network"/>
    <s v="BCN"/>
    <s v="Bain Capability Network"/>
  </r>
  <r>
    <x v="1"/>
    <s v="NE"/>
    <x v="72"/>
    <x v="10"/>
    <x v="14"/>
    <s v="BCN ENR"/>
    <s v="BCN ENR"/>
    <s v=""/>
    <s v=""/>
    <s v=""/>
    <s v="BC"/>
    <s v="BCN"/>
    <s v="Bain Capability Network"/>
    <s v="BCN"/>
    <s v="Bain Capability Network"/>
  </r>
  <r>
    <x v="0"/>
    <s v="IU"/>
    <x v="73"/>
    <x v="10"/>
    <x v="14"/>
    <s v="BCN Enterprise Tech."/>
    <s v="BCN Enterprise Technology"/>
    <s v=""/>
    <s v=""/>
    <s v=""/>
    <s v="BC"/>
    <s v="BCN"/>
    <s v="Bain Capability Network"/>
    <s v="BCN"/>
    <s v="Bain Capability Network"/>
  </r>
  <r>
    <x v="1"/>
    <s v="VN"/>
    <x v="73"/>
    <x v="10"/>
    <x v="14"/>
    <s v="BCN Enterprise Tech."/>
    <s v="BCN Enterprise Technology"/>
    <s v=""/>
    <s v=""/>
    <s v=""/>
    <s v="BC"/>
    <s v="BCN"/>
    <s v="Bain Capability Network"/>
    <s v="BCN"/>
    <s v="Bain Capability Network"/>
  </r>
  <r>
    <x v="1"/>
    <s v="B8"/>
    <x v="74"/>
    <x v="10"/>
    <x v="14"/>
    <s v="BCN Financial Services"/>
    <s v="BCN Financial Services"/>
    <s v=""/>
    <s v=""/>
    <s v=""/>
    <s v="BC"/>
    <s v="BCN"/>
    <s v="Bain Capability Network"/>
    <s v="BCN"/>
    <s v="Bain Capability Network"/>
  </r>
  <r>
    <x v="0"/>
    <s v="FX"/>
    <x v="75"/>
    <x v="10"/>
    <x v="14"/>
    <s v="BCN Flex"/>
    <s v="BCN Flex"/>
    <s v=""/>
    <s v=""/>
    <s v=""/>
    <s v="BC"/>
    <s v="BCN"/>
    <s v="Bain Capability Network"/>
    <s v="BCN"/>
    <s v="Bain Capability Network"/>
  </r>
  <r>
    <x v="1"/>
    <s v="BH"/>
    <x v="76"/>
    <x v="10"/>
    <x v="14"/>
    <s v="BCN Healthcare"/>
    <s v="BCN Healthcare"/>
    <s v=""/>
    <s v=""/>
    <s v=""/>
    <s v="BC"/>
    <s v="BCN"/>
    <s v="Bain Capability Network"/>
    <s v="BCN"/>
    <s v="Bain Capability Network"/>
  </r>
  <r>
    <x v="0"/>
    <s v="WY"/>
    <x v="77"/>
    <x v="12"/>
    <x v="10"/>
    <s v="BCN HR and Talent"/>
    <s v="BCN HR and Talent"/>
    <s v="GR_SUB"/>
    <s v="HR &amp; Talent Mgmt."/>
    <s v="Human Resources &amp; Talent Management"/>
    <s v="TH"/>
    <s v="Talent Mgmt."/>
    <s v="Talent Management"/>
    <s v="Talent Mgmt."/>
    <s v="Talent Management"/>
  </r>
  <r>
    <x v="0"/>
    <s v="ID"/>
    <x v="78"/>
    <x v="10"/>
    <x v="14"/>
    <s v="BCN India CoE"/>
    <s v="BCN India CoE"/>
    <s v=""/>
    <s v=""/>
    <s v=""/>
    <s v="BC"/>
    <s v="BCN"/>
    <s v="Bain Capability Network"/>
    <s v="BCN"/>
    <s v="Bain Capability Network"/>
  </r>
  <r>
    <x v="1"/>
    <s v="HU"/>
    <x v="79"/>
    <x v="10"/>
    <x v="14"/>
    <s v="BCN Industries"/>
    <s v="BCN Industries"/>
    <m/>
    <m/>
    <m/>
    <s v="BC"/>
    <s v="BCN"/>
    <s v="Bain Capability Network"/>
    <s v="BCN"/>
    <s v="Bain Capability Network"/>
  </r>
  <r>
    <x v="1"/>
    <s v="NL"/>
    <x v="80"/>
    <x v="10"/>
    <x v="14"/>
    <s v="BCN Labs"/>
    <s v="BCN Labs"/>
    <s v=""/>
    <s v=""/>
    <s v=""/>
    <s v="BC"/>
    <s v="BCN"/>
    <s v="Bain Capability Network"/>
    <s v="BCN"/>
    <s v="Bain Capability Network"/>
  </r>
  <r>
    <x v="0"/>
    <s v="NU"/>
    <x v="81"/>
    <x v="10"/>
    <x v="14"/>
    <s v="BCN Nucleus"/>
    <s v="BCN Nucleus"/>
    <s v=""/>
    <s v=""/>
    <s v=""/>
    <s v="BC"/>
    <s v="BCN"/>
    <s v="Bain Capability Network"/>
    <s v="BCN"/>
    <s v="Bain Capability Network"/>
  </r>
  <r>
    <x v="0"/>
    <s v="OX"/>
    <x v="82"/>
    <x v="10"/>
    <x v="14"/>
    <s v="BCN Op Excellence"/>
    <s v="BCN Operations Excellence"/>
    <s v=""/>
    <s v=""/>
    <s v=""/>
    <s v="BC"/>
    <s v="BCN"/>
    <s v="Bain Capability Network"/>
    <s v="BCN"/>
    <s v="Bain Capability Network"/>
  </r>
  <r>
    <x v="1"/>
    <s v="C2"/>
    <x v="83"/>
    <x v="10"/>
    <x v="14"/>
    <s v="BCN PEG Americas"/>
    <s v="BCN PEG Americas"/>
    <s v=""/>
    <s v=""/>
    <s v=""/>
    <s v="BC"/>
    <s v="BCN"/>
    <s v="Bain Capability Network"/>
    <s v="BCN"/>
    <s v="Bain Capability Network"/>
  </r>
  <r>
    <x v="1"/>
    <s v="WM"/>
    <x v="84"/>
    <x v="10"/>
    <x v="14"/>
    <s v="BCN PEG APAC"/>
    <s v="BCN PEG APAC"/>
    <s v=""/>
    <s v=""/>
    <s v=""/>
    <s v="BC"/>
    <s v="BCN"/>
    <s v="Bain Capability Network"/>
    <s v="BCN"/>
    <s v="Bain Capability Network"/>
  </r>
  <r>
    <x v="1"/>
    <s v="HS"/>
    <x v="85"/>
    <x v="10"/>
    <x v="14"/>
    <s v="BCN PEG"/>
    <s v="BCN PEG"/>
    <m/>
    <m/>
    <m/>
    <s v="BC"/>
    <s v="BCN"/>
    <s v="Bain Capability Network"/>
    <s v="BCN"/>
    <s v="Bain Capability Network"/>
  </r>
  <r>
    <x v="0"/>
    <s v="C1"/>
    <x v="86"/>
    <x v="10"/>
    <x v="14"/>
    <s v="BCN PEG EMEA and APAC"/>
    <s v="BCN PEG EMEA and APAC"/>
    <s v=""/>
    <s v=""/>
    <s v=""/>
    <s v="BC"/>
    <s v="BCN"/>
    <s v="Bain Capability Network"/>
    <s v="BCN"/>
    <s v="Bain Capability Network"/>
  </r>
  <r>
    <x v="1"/>
    <s v="WL"/>
    <x v="87"/>
    <x v="10"/>
    <x v="14"/>
    <s v="BCN PEG EMEA"/>
    <s v="BCN PEG EMEA"/>
    <s v=""/>
    <s v=""/>
    <s v=""/>
    <s v="BC"/>
    <s v="BCN"/>
    <s v="Bain Capability Network"/>
    <s v="BCN"/>
    <s v="Bain Capability Network"/>
  </r>
  <r>
    <x v="1"/>
    <s v="NR"/>
    <x v="88"/>
    <x v="10"/>
    <x v="14"/>
    <s v="BCN People &amp; ORG"/>
    <s v="BCN People &amp; ORG"/>
    <s v=""/>
    <s v=""/>
    <s v=""/>
    <s v="BC"/>
    <s v="BCN"/>
    <s v="Bain Capability Network"/>
    <s v="BCN"/>
    <s v="Bain Capability Network"/>
  </r>
  <r>
    <x v="1"/>
    <s v="XD"/>
    <x v="89"/>
    <x v="10"/>
    <x v="14"/>
    <s v="BCN Perf. Imp."/>
    <s v="BCN Performance Improvement"/>
    <s v=""/>
    <s v=""/>
    <s v=""/>
    <s v="BC"/>
    <s v="BCN"/>
    <s v="Bain Capability Network"/>
    <s v="BCN"/>
    <s v="Bain Capability Network"/>
  </r>
  <r>
    <x v="1"/>
    <s v="B5"/>
    <x v="90"/>
    <x v="10"/>
    <x v="14"/>
    <s v="BCN Pricing"/>
    <s v="BCN Pricing"/>
    <s v=""/>
    <s v=""/>
    <s v=""/>
    <s v="BC"/>
    <s v="BCN"/>
    <s v="Bain Capability Network"/>
    <s v="BCN"/>
    <s v="Bain Capability Network"/>
  </r>
  <r>
    <x v="1"/>
    <s v="BV"/>
    <x v="91"/>
    <x v="1"/>
    <x v="1"/>
    <s v="BCN Recruiting"/>
    <s v="BCN Recruiting"/>
    <s v="RT_SUB"/>
    <s v="TA Teams"/>
    <s v="Talent Acquisition Teams"/>
    <s v="RE"/>
    <s v="Talent Acquisition"/>
    <s v="Talent Acquisition"/>
    <s v="Talent Acquisition"/>
    <s v="Talent Acquisition"/>
  </r>
  <r>
    <x v="1"/>
    <s v="VM"/>
    <x v="92"/>
    <x v="10"/>
    <x v="14"/>
    <s v="BCN Retail"/>
    <s v="BCN Retail"/>
    <s v=""/>
    <s v=""/>
    <s v=""/>
    <s v="BC"/>
    <s v="BCN"/>
    <s v="Bain Capability Network"/>
    <s v="BCN"/>
    <s v="Bain Capability Network"/>
  </r>
  <r>
    <x v="1"/>
    <s v="NM"/>
    <x v="93"/>
    <x v="10"/>
    <x v="14"/>
    <s v="BCN S&amp;M Trans."/>
    <s v="BCN S&amp;M Transformation"/>
    <s v=""/>
    <s v=""/>
    <s v=""/>
    <s v="BC"/>
    <s v="BCN"/>
    <s v="Bain Capability Network"/>
    <s v="BCN"/>
    <s v="Bain Capability Network"/>
  </r>
  <r>
    <x v="1"/>
    <s v="NS"/>
    <x v="94"/>
    <x v="10"/>
    <x v="14"/>
    <s v="BCN Strategy"/>
    <s v="BCN Strategy"/>
    <s v=""/>
    <s v=""/>
    <s v=""/>
    <s v="BC"/>
    <s v="BCN"/>
    <s v="Bain Capability Network"/>
    <s v="BCN"/>
    <s v="Bain Capability Network"/>
  </r>
  <r>
    <x v="0"/>
    <s v="C0"/>
    <x v="95"/>
    <x v="10"/>
    <x v="14"/>
    <s v="BCN SC and MVP Labs"/>
    <s v="BCN Supply Chain and MVP Labs"/>
    <s v=""/>
    <s v=""/>
    <s v=""/>
    <s v="BC"/>
    <s v="BCN"/>
    <s v="Bain Capability Network"/>
    <s v="BCN"/>
    <s v="Bain Capability Network"/>
  </r>
  <r>
    <x v="1"/>
    <s v="SS"/>
    <x v="96"/>
    <x v="10"/>
    <x v="14"/>
    <s v="BCN Sustainability"/>
    <s v="BCN Sustainability"/>
    <m/>
    <m/>
    <m/>
    <s v="BC"/>
    <s v="BCN"/>
    <s v="Bain Capability Network"/>
    <s v="BCN"/>
    <s v="Bain Capability Network"/>
  </r>
  <r>
    <x v="0"/>
    <s v="TT"/>
    <x v="97"/>
    <x v="10"/>
    <x v="14"/>
    <s v="BCN TMT"/>
    <s v="BCN Tech Media and Telecom"/>
    <s v=""/>
    <s v=""/>
    <s v=""/>
    <s v="BC"/>
    <s v="BCN"/>
    <s v="Bain Capability Network"/>
    <s v="BCN"/>
    <s v="Bain Capability Network"/>
  </r>
  <r>
    <x v="1"/>
    <s v="GF"/>
    <x v="98"/>
    <x v="10"/>
    <x v="14"/>
    <s v="BCN TMT"/>
    <s v="BCN TMT"/>
    <m/>
    <m/>
    <m/>
    <s v="BC"/>
    <s v="BCN"/>
    <s v="Bain Capability Network"/>
    <s v="BCN"/>
    <s v="Bain Capability Network"/>
  </r>
  <r>
    <x v="0"/>
    <s v="WH"/>
    <x v="98"/>
    <x v="10"/>
    <x v="14"/>
    <s v="BCN TMT"/>
    <s v="BCN TMT"/>
    <s v=""/>
    <s v=""/>
    <s v=""/>
    <s v="BC"/>
    <s v="BCN"/>
    <s v="Bain Capability Network"/>
    <s v="BCN"/>
    <s v="Bain Capability Network"/>
  </r>
  <r>
    <x v="0"/>
    <s v="WI"/>
    <x v="98"/>
    <x v="10"/>
    <x v="14"/>
    <s v="BCN TMT"/>
    <s v="BCN TMT"/>
    <s v=""/>
    <s v=""/>
    <s v=""/>
    <s v="BC"/>
    <s v="BCN"/>
    <s v="Bain Capability Network"/>
    <s v="BCN"/>
    <s v="Bain Capability Network"/>
  </r>
  <r>
    <x v="1"/>
    <s v="NV"/>
    <x v="99"/>
    <x v="10"/>
    <x v="14"/>
    <s v="BCN Vis."/>
    <s v="BCN Visualization"/>
    <s v=""/>
    <s v=""/>
    <s v=""/>
    <s v="BC"/>
    <s v="BCN"/>
    <s v="Bain Capability Network"/>
    <s v="BCN"/>
    <s v="Bain Capability Network"/>
  </r>
  <r>
    <x v="0"/>
    <s v="DS"/>
    <x v="100"/>
    <x v="22"/>
    <x v="2"/>
    <s v="Brand"/>
    <s v="Brand"/>
    <s v="BA_SUB"/>
    <s v="Brand Studio"/>
    <s v="Brand Studio"/>
    <s v="F10"/>
    <s v="Marketing"/>
    <s v="Marketing"/>
    <s v="Marketing"/>
    <s v="Marketing"/>
  </r>
  <r>
    <x v="1"/>
    <s v="WF"/>
    <x v="101"/>
    <x v="22"/>
    <x v="2"/>
    <s v="Brand Design"/>
    <s v="Brand Design"/>
    <s v="BA_SUB"/>
    <s v="Brand Studio"/>
    <s v="Brand Studio"/>
    <s v="F10"/>
    <s v="Marketing"/>
    <s v="Marketing"/>
    <s v="Marketing"/>
    <s v="Marketing"/>
  </r>
  <r>
    <x v="1"/>
    <s v="WG"/>
    <x v="102"/>
    <x v="22"/>
    <x v="2"/>
    <s v="Brand Mgmt. &amp; Ops"/>
    <s v="Brand Management &amp; Operations"/>
    <s v="BA_SUB"/>
    <s v="Brand Studio"/>
    <s v="Brand Studio"/>
    <s v="F10"/>
    <s v="Marketing"/>
    <s v="Marketing"/>
    <s v="Marketing"/>
    <s v="Marketing"/>
  </r>
  <r>
    <x v="1"/>
    <s v="HE"/>
    <x v="103"/>
    <x v="22"/>
    <x v="2"/>
    <s v="Brand Studio Social Media"/>
    <s v="Brand Studio Social Media"/>
    <s v="BA_SUB"/>
    <s v="Brand Studio"/>
    <s v="Brand Studio"/>
    <s v="F10"/>
    <s v="Marketing"/>
    <s v="Marketing"/>
    <s v="Marketing"/>
    <s v="Marketing"/>
  </r>
  <r>
    <x v="1"/>
    <s v="SC"/>
    <x v="104"/>
    <x v="10"/>
    <x v="12"/>
    <s v="Bus. Dev."/>
    <s v="Business Development"/>
    <s v=""/>
    <s v=""/>
    <s v=""/>
    <s v="WU"/>
    <s v="Capability Delivery"/>
    <s v="Capability Delivery Solutions"/>
    <s v="Capability Delivery"/>
    <s v="Capability Delivery Solutions"/>
  </r>
  <r>
    <x v="0"/>
    <s v="CE"/>
    <x v="105"/>
    <x v="12"/>
    <x v="10"/>
    <s v="Career Development"/>
    <s v="Career Development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AJ"/>
    <x v="106"/>
    <x v="23"/>
    <x v="8"/>
    <s v="Central Legal"/>
    <s v="Central Legal"/>
    <s v="GS_SUB"/>
    <s v="Global Legal Services"/>
    <s v="Global Legal Services"/>
    <s v="F7"/>
    <s v="Legal"/>
    <s v="Legal"/>
    <s v="Legal"/>
    <s v="Legal"/>
  </r>
  <r>
    <x v="0"/>
    <s v="CB"/>
    <x v="107"/>
    <x v="24"/>
    <x v="10"/>
    <s v="Client Capability Building"/>
    <s v="Client Capability Building"/>
    <s v="GL_SUB"/>
    <s v="Global Training"/>
    <s v="Global Training"/>
    <s v="TH"/>
    <s v="Talent Mgmt."/>
    <s v="Talent Management"/>
    <s v="Talent Mgmt."/>
    <s v="Talent Management"/>
  </r>
  <r>
    <x v="1"/>
    <s v="L8"/>
    <x v="108"/>
    <x v="5"/>
    <x v="4"/>
    <s v="CME Expert Cons."/>
    <s v="Communications, Media, and Entertainment Expert Consulting"/>
    <s v="EC_SUB"/>
    <s v="Expert Cons."/>
    <s v="Expert Consulting"/>
    <s v="F2"/>
    <s v="Consulting"/>
    <s v="Consulting"/>
    <s v="Expert/Spec. Cons."/>
    <s v="Expert/Specialist Consulting"/>
  </r>
  <r>
    <x v="1"/>
    <s v="GC"/>
    <x v="109"/>
    <x v="1"/>
    <x v="1"/>
    <s v="Consultant TA"/>
    <s v="Consultant Talent Acquisition"/>
    <s v="RT_SUB"/>
    <s v="TA Teams"/>
    <s v="Talent Acquisition Teams"/>
    <s v="RE"/>
    <s v="Talent Acquisition"/>
    <s v="Talent Acquisition"/>
    <s v="Talent Acquisition"/>
    <s v="Talent Acquisition"/>
  </r>
  <r>
    <x v="1"/>
    <s v="40"/>
    <x v="110"/>
    <x v="7"/>
    <x v="6"/>
    <s v="General Consulting"/>
    <s v="General Consulting"/>
    <s v="NEW_GC_SUB"/>
    <s v="Gen. Cons."/>
    <s v="General Consulting"/>
    <s v="F2"/>
    <s v="Consulting"/>
    <s v="Consulting"/>
    <s v="Gen Cons."/>
    <s v="General Consulting"/>
  </r>
  <r>
    <x v="1"/>
    <s v="AS"/>
    <x v="111"/>
    <x v="25"/>
    <x v="7"/>
    <s v="Case Team Assistant"/>
    <s v="Consulting Support/Case Team Assistant"/>
    <s v="LO_SUB"/>
    <s v="Local Ops"/>
    <s v="Local Operations"/>
    <s v="F4"/>
    <s v="Ops"/>
    <s v="Operations"/>
    <s v="Ops"/>
    <s v="Operations"/>
  </r>
  <r>
    <x v="1"/>
    <s v="P7"/>
    <x v="112"/>
    <x v="6"/>
    <x v="5"/>
    <s v="CP &amp; Retail Practice"/>
    <s v="Consumer Products &amp; Retail Practice"/>
    <s v="SP_SUB"/>
    <s v="Practice Teams"/>
    <s v="Practice Teams"/>
    <s v="F15"/>
    <s v="PPK"/>
    <s v="Product, Practice &amp; Knowledge"/>
    <s v="PPK"/>
    <s v="Product, Practice &amp; Knowledge"/>
  </r>
  <r>
    <x v="1"/>
    <s v="L9"/>
    <x v="113"/>
    <x v="5"/>
    <x v="4"/>
    <s v="Consumer Products Expert Cons."/>
    <s v="Consumer Products Expert Consulting"/>
    <s v="EC_SUB"/>
    <s v="Expert Cons."/>
    <s v="Expert Consulting"/>
    <s v="F2"/>
    <s v="Consulting"/>
    <s v="Consulting"/>
    <s v="Expert/Spec. Cons."/>
    <s v="Expert/Specialist Consulting"/>
  </r>
  <r>
    <x v="1"/>
    <s v="E4"/>
    <x v="114"/>
    <x v="6"/>
    <x v="5"/>
    <s v="CP Practice"/>
    <s v="Consumer Products Practice"/>
    <s v="SP_SUB"/>
    <s v="Practice Teams"/>
    <s v="Practice Teams"/>
    <s v="F15"/>
    <s v="PPK"/>
    <s v="Product, Practice &amp; Knowledge"/>
    <s v="PPK"/>
    <s v="Product, Practice &amp; Knowledge"/>
  </r>
  <r>
    <x v="1"/>
    <s v="IG"/>
    <x v="115"/>
    <x v="6"/>
    <x v="5"/>
    <s v="Core Innovation Team"/>
    <s v="Core Innovation Team"/>
    <s v="SP_SUB"/>
    <s v="Practice Teams"/>
    <s v="Practice Teams"/>
    <s v="F15"/>
    <s v="PPK"/>
    <s v="Product, Practice &amp; Knowledge"/>
    <s v="PPK"/>
    <s v="Product, Practice &amp; Knowledge"/>
  </r>
  <r>
    <x v="1"/>
    <s v="RO"/>
    <x v="116"/>
    <x v="10"/>
    <x v="12"/>
    <s v="Coro"/>
    <s v="Coro"/>
    <s v=""/>
    <s v=""/>
    <s v=""/>
    <s v="WU"/>
    <s v="Capability Delivery"/>
    <s v="Capability Delivery Solutions"/>
    <s v="Capability Delivery"/>
    <s v="Capability Delivery Solutions"/>
  </r>
  <r>
    <x v="1"/>
    <s v="CI"/>
    <x v="117"/>
    <x v="26"/>
    <x v="2"/>
    <s v="Corporate Affairs"/>
    <s v="Corporate Affairs"/>
    <s v="EA_SUB"/>
    <s v="External Affairs"/>
    <s v="External Affairs"/>
    <s v="F10"/>
    <s v="Marketing"/>
    <s v="Marketing"/>
    <s v="Marketing"/>
    <s v="Marketing"/>
  </r>
  <r>
    <x v="0"/>
    <s v="XX_CS"/>
    <x v="118"/>
    <x v="8"/>
    <x v="2"/>
    <s v="Creative Services (History)"/>
    <s v="Creative Services (History)"/>
    <s v="CS_SUB"/>
    <s v="Creative Services"/>
    <s v="Creative Services"/>
    <s v="F10"/>
    <s v="Marketing"/>
    <s v="Marketing"/>
    <s v="Marketing"/>
    <s v="Marketing"/>
  </r>
  <r>
    <x v="1"/>
    <s v="CU"/>
    <x v="119"/>
    <x v="27"/>
    <x v="5"/>
    <s v="CRM"/>
    <s v="CRM"/>
    <s v="GC_SUB"/>
    <s v="Commercial Ops"/>
    <s v="Global Commercial Operations"/>
    <s v="F15"/>
    <s v="PPK"/>
    <s v="Product, Practice &amp; Knowledge"/>
    <s v="PPK"/>
    <s v="Product, Practice &amp; Knowledge"/>
  </r>
  <r>
    <x v="1"/>
    <s v="AG"/>
    <x v="120"/>
    <x v="28"/>
    <x v="6"/>
    <s v="Customer Affiliate"/>
    <s v="Customer Affiliate"/>
    <s v="DA_SUB"/>
    <s v="Dedicated Affiliate"/>
    <s v="Dedicated Affiliate"/>
    <s v="F2"/>
    <s v="Consulting"/>
    <s v="Consulting"/>
    <s v="Gen Cons."/>
    <s v="General Consulting"/>
  </r>
  <r>
    <x v="1"/>
    <s v="L2"/>
    <x v="121"/>
    <x v="5"/>
    <x v="4"/>
    <s v="Customer Expert Consulting"/>
    <s v="Customer Expert Consulting"/>
    <s v="EC_SUB"/>
    <s v="Expert Cons."/>
    <s v="Expert Consulting"/>
    <s v="F2"/>
    <s v="Consulting"/>
    <s v="Consulting"/>
    <s v="Expert/Spec. Cons."/>
    <s v="Expert/Specialist Consulting"/>
  </r>
  <r>
    <x v="1"/>
    <s v="DC"/>
    <x v="122"/>
    <x v="6"/>
    <x v="5"/>
    <s v="Customer Practice"/>
    <s v="Customer Practice"/>
    <s v="SP_SUB"/>
    <s v="Practice Teams"/>
    <s v="Practice Teams"/>
    <s v="F15"/>
    <s v="PPK"/>
    <s v="Product, Practice &amp; Knowledge"/>
    <s v="PPK"/>
    <s v="Product, Practice &amp; Knowledge"/>
  </r>
  <r>
    <x v="1"/>
    <s v="OB"/>
    <x v="123"/>
    <x v="29"/>
    <x v="11"/>
    <s v="Data Bus. (Other)"/>
    <s v="Data Businesses (Other)"/>
    <s v="PD_SUB"/>
    <s v="PEDV"/>
    <s v="Private Equity Data Ventures"/>
    <s v="VF"/>
    <s v="PE Service Line"/>
    <s v="Private Equity Service Line"/>
    <s v="PE Service Line"/>
    <s v="Private Equity Service Line"/>
  </r>
  <r>
    <x v="1"/>
    <s v="DD"/>
    <x v="124"/>
    <x v="29"/>
    <x v="11"/>
    <s v="DealEdge"/>
    <s v="DealEdge"/>
    <s v="PD_SUB"/>
    <s v="PEDV"/>
    <s v="Private Equity Data Ventures"/>
    <s v="VF"/>
    <s v="PE Service Line"/>
    <s v="Private Equity Service Line"/>
    <s v="PE Service Line"/>
    <s v="Private Equity Service Line"/>
  </r>
  <r>
    <x v="0"/>
    <s v="A6"/>
    <x v="125"/>
    <x v="30"/>
    <x v="15"/>
    <s v="DEI L&amp;D"/>
    <s v="DEI Learning and Development"/>
    <s v="DE_SUB"/>
    <s v="DEI COE"/>
    <s v="DEI COE"/>
    <s v="DI"/>
    <s v="DEI"/>
    <s v="Diversity, Equity and Inclusion"/>
    <s v="DEI"/>
    <s v="Diversity, Equity and Inclusion"/>
  </r>
  <r>
    <x v="1"/>
    <s v="GV"/>
    <x v="126"/>
    <x v="30"/>
    <x v="15"/>
    <s v="DEI Strategy &amp; Ops"/>
    <s v="DEI Strategy and Operations"/>
    <s v="DE_SUB"/>
    <s v="DEI COE"/>
    <s v="DEI COE"/>
    <s v="DI"/>
    <s v="DEI"/>
    <s v="Diversity, Equity and Inclusion"/>
    <s v="DEI"/>
    <s v="Diversity, Equity and Inclusion"/>
  </r>
  <r>
    <x v="1"/>
    <s v="BL"/>
    <x v="127"/>
    <x v="31"/>
    <x v="2"/>
    <s v="Digital Campaigns"/>
    <s v="Digital Campaigns"/>
    <s v="DM_SUB"/>
    <s v="Digital Marketing"/>
    <s v="Digital Marketing"/>
    <s v="F10"/>
    <s v="Marketing"/>
    <s v="Marketing"/>
    <s v="Marketing"/>
    <s v="Marketing"/>
  </r>
  <r>
    <x v="1"/>
    <s v="BO"/>
    <x v="128"/>
    <x v="31"/>
    <x v="2"/>
    <s v="Digital Foundations"/>
    <s v="Digital Foundations"/>
    <s v="DM_SUB"/>
    <s v="Digital Marketing"/>
    <s v="Digital Marketing"/>
    <s v="F10"/>
    <s v="Marketing"/>
    <s v="Marketing"/>
    <s v="Marketing"/>
    <s v="Marketing"/>
  </r>
  <r>
    <x v="1"/>
    <s v="BQ"/>
    <x v="129"/>
    <x v="31"/>
    <x v="2"/>
    <s v="Digital Mailings"/>
    <s v="Digital Mailings"/>
    <s v="DM_SUB"/>
    <s v="Digital Marketing"/>
    <s v="Digital Marketing"/>
    <s v="F10"/>
    <s v="Marketing"/>
    <s v="Marketing"/>
    <s v="Marketing"/>
    <s v="Marketing"/>
  </r>
  <r>
    <x v="0"/>
    <s v="M1"/>
    <x v="130"/>
    <x v="31"/>
    <x v="2"/>
    <s v="Digital Marketing"/>
    <s v="Digital Marketing"/>
    <s v="DM_SUB"/>
    <s v="Digital Marketing"/>
    <s v="Digital Marketing"/>
    <s v="F10"/>
    <s v="Marketing"/>
    <s v="Marketing"/>
    <s v="Marketing"/>
    <s v="Marketing"/>
  </r>
  <r>
    <x v="1"/>
    <s v="ED"/>
    <x v="131"/>
    <x v="32"/>
    <x v="2"/>
    <s v="Editorial"/>
    <s v="Editorial"/>
    <s v="ED_SUB"/>
    <s v="Editorial"/>
    <s v="Editorial"/>
    <s v="F10"/>
    <s v="Marketing"/>
    <s v="Marketing"/>
    <s v="Marketing"/>
    <s v="Marketing"/>
  </r>
  <r>
    <x v="1"/>
    <s v="EA"/>
    <x v="132"/>
    <x v="3"/>
    <x v="3"/>
    <s v="EMEA AP/T&amp;E"/>
    <s v="EMEA AP/T&amp;E"/>
    <s v="GF_SUB"/>
    <s v="Global Finance"/>
    <s v="Global Finance"/>
    <s v="F3"/>
    <s v="Finance"/>
    <s v="Finance"/>
    <s v="Finance"/>
    <s v="Finance"/>
  </r>
  <r>
    <x v="1"/>
    <s v="BK"/>
    <x v="133"/>
    <x v="8"/>
    <x v="7"/>
    <s v="EMEA Creative Services"/>
    <s v="EMEA Creative Services"/>
    <s v="CS_SUB"/>
    <s v="Creative Services"/>
    <s v="Creative Services"/>
    <s v="F4"/>
    <s v="Ops"/>
    <s v="Operations"/>
    <s v="Ops"/>
    <s v="Operations"/>
  </r>
  <r>
    <x v="1"/>
    <s v="EF"/>
    <x v="134"/>
    <x v="33"/>
    <x v="3"/>
    <s v="EMEA Finance"/>
    <s v="EMEA Finance"/>
    <s v="EF_SUB"/>
    <s v="EMEA Finance"/>
    <s v="EMEA Finance"/>
    <s v="F3"/>
    <s v="Finance"/>
    <s v="Finance"/>
    <s v="Finance"/>
    <s v="Finance"/>
  </r>
  <r>
    <x v="1"/>
    <s v="VE"/>
    <x v="135"/>
    <x v="17"/>
    <x v="3"/>
    <s v="EMEA GBS Finance"/>
    <s v="EMEA GBS Finance"/>
    <s v="SS_SUB"/>
    <s v="GBS Finance"/>
    <s v="GBS Finance"/>
    <s v="F3"/>
    <s v="Finance"/>
    <s v="Finance"/>
    <s v="Finance"/>
    <s v="Finance"/>
  </r>
  <r>
    <x v="1"/>
    <s v="RI"/>
    <x v="136"/>
    <x v="12"/>
    <x v="10"/>
    <s v="EMEA HR and Talent"/>
    <s v="EMEA HR and Talent"/>
    <s v="GR_SUB"/>
    <s v="HR &amp; Talent Mgmt."/>
    <s v="Human Resources &amp; Talent Management"/>
    <s v="TH"/>
    <s v="Talent Mgmt."/>
    <s v="Talent Management"/>
    <s v="Talent Mgmt."/>
    <s v="Talent Management"/>
  </r>
  <r>
    <x v="0"/>
    <s v="RH"/>
    <x v="137"/>
    <x v="10"/>
    <x v="10"/>
    <s v="EMEA HR"/>
    <s v="EMEA Human Resources"/>
    <s v=""/>
    <s v=""/>
    <s v=""/>
    <s v="TH"/>
    <s v="Talent Mgmt."/>
    <s v="Talent Management"/>
    <s v="Talent Mgmt."/>
    <s v="Talent Management"/>
  </r>
  <r>
    <x v="1"/>
    <s v="AW"/>
    <x v="138"/>
    <x v="9"/>
    <x v="8"/>
    <s v="EMEA Legal Services"/>
    <s v="EMEA Legal Services"/>
    <s v="RL_SUB"/>
    <s v="Reg. Legal Services"/>
    <s v="Regional Legal Services"/>
    <s v="F7"/>
    <s v="Legal"/>
    <s v="Legal"/>
    <s v="Legal"/>
    <s v="Legal"/>
  </r>
  <r>
    <x v="1"/>
    <s v="DQ"/>
    <x v="139"/>
    <x v="33"/>
    <x v="3"/>
    <s v="EMEA Local Finance"/>
    <s v="EMEA Local Finance"/>
    <s v="EF_SUB"/>
    <s v="EMEA Finance"/>
    <s v="EMEA Finance"/>
    <s v="F3"/>
    <s v="Finance"/>
    <s v="Finance"/>
    <s v="Finance"/>
    <s v="Finance"/>
  </r>
  <r>
    <x v="1"/>
    <s v="EX"/>
    <x v="140"/>
    <x v="13"/>
    <x v="2"/>
    <s v="EMEA Market Reputation"/>
    <s v="EMEA Market Reputation"/>
    <s v="MR_SUB"/>
    <s v="Market Reputation"/>
    <s v="Market Reputation"/>
    <s v="F10"/>
    <s v="Marketing"/>
    <s v="Marketing"/>
    <s v="Marketing"/>
    <s v="Marketing"/>
  </r>
  <r>
    <x v="1"/>
    <s v="WD"/>
    <x v="141"/>
    <x v="14"/>
    <x v="11"/>
    <s v="EMEA PEG Talent and Operations"/>
    <s v="EMEA PEG Talent and Operations"/>
    <s v="SQ_SUB"/>
    <s v="PE Strategy, Ops, Talent"/>
    <s v="PE Strategy, Operations &amp; Talent"/>
    <s v="VF"/>
    <s v="PE Service Line"/>
    <s v="Private Equity Service Line"/>
    <s v="PE Service Line"/>
    <s v="Private Equity Service Line"/>
  </r>
  <r>
    <x v="1"/>
    <s v="O3"/>
    <x v="142"/>
    <x v="10"/>
    <x v="9"/>
    <s v="EMEA RDS"/>
    <s v="EMEA Research and Data Services"/>
    <s v=""/>
    <s v=""/>
    <s v=""/>
    <s v="WX"/>
    <s v="RDS"/>
    <s v="Research and Data Services"/>
    <s v="RDS"/>
    <s v="Research and Data Services"/>
  </r>
  <r>
    <x v="1"/>
    <s v="E9"/>
    <x v="143"/>
    <x v="10"/>
    <x v="10"/>
    <s v="EMEA TA Ops"/>
    <s v="EMEA Talent Acquisition Operations"/>
    <m/>
    <m/>
    <m/>
    <s v="TH"/>
    <s v="Talent Mgmt."/>
    <s v="Talent Management"/>
    <s v="Talent Mgmt."/>
    <s v="Talent Management"/>
  </r>
  <r>
    <x v="1"/>
    <s v="AY"/>
    <x v="144"/>
    <x v="22"/>
    <x v="2"/>
    <s v="Employer Branding"/>
    <s v="Employer Branding"/>
    <s v="BA_SUB"/>
    <s v="Brand Studio"/>
    <s v="Brand Studio"/>
    <s v="F10"/>
    <s v="Marketing"/>
    <s v="Marketing"/>
    <s v="Marketing"/>
    <s v="Marketing"/>
  </r>
  <r>
    <x v="1"/>
    <s v="AK"/>
    <x v="145"/>
    <x v="23"/>
    <x v="8"/>
    <s v="Employment Law"/>
    <s v="Employment Law"/>
    <s v="GS_SUB"/>
    <s v="Global Legal Services"/>
    <s v="Global Legal Services"/>
    <s v="F7"/>
    <s v="Legal"/>
    <s v="Legal"/>
    <s v="Legal"/>
    <s v="Legal"/>
  </r>
  <r>
    <x v="1"/>
    <s v="L3"/>
    <x v="146"/>
    <x v="5"/>
    <x v="4"/>
    <s v="Energy &amp; Natural Resources Expert Cons."/>
    <s v="Energy &amp; Natural Resources Expert Consulting"/>
    <s v="EC_SUB"/>
    <s v="Expert Cons."/>
    <s v="Expert Consulting"/>
    <s v="F2"/>
    <s v="Consulting"/>
    <s v="Consulting"/>
    <s v="Expert/Spec. Cons."/>
    <s v="Expert/Specialist Consulting"/>
  </r>
  <r>
    <x v="1"/>
    <s v="E2"/>
    <x v="147"/>
    <x v="6"/>
    <x v="5"/>
    <s v="ENR Practice"/>
    <s v="Energy &amp; Natural Resources Practice"/>
    <s v="SP_SUB"/>
    <s v="Practice Teams"/>
    <s v="Practice Teams"/>
    <s v="F15"/>
    <s v="PPK"/>
    <s v="Product, Practice &amp; Knowledge"/>
    <s v="PPK"/>
    <s v="Product, Practice &amp; Knowledge"/>
  </r>
  <r>
    <x v="0"/>
    <s v="EO"/>
    <x v="148"/>
    <x v="10"/>
    <x v="16"/>
    <s v="E2 Strategy &amp; Ops"/>
    <s v="Engine 2 Strategy &amp; Operations"/>
    <s v=""/>
    <s v=""/>
    <s v=""/>
    <s v="F16"/>
    <s v="E2"/>
    <s v="Engine 2"/>
    <s v="E2"/>
    <s v="Engine 2"/>
  </r>
  <r>
    <x v="1"/>
    <s v="AV"/>
    <x v="149"/>
    <x v="28"/>
    <x v="6"/>
    <s v="ET Affiliate"/>
    <s v="Enterprise Technology Affiliate"/>
    <s v="DA_SUB"/>
    <s v="Dedicated Affiliate"/>
    <s v="Dedicated Affiliate"/>
    <s v="F2"/>
    <s v="Consulting"/>
    <s v="Consulting"/>
    <s v="Gen Cons."/>
    <s v="General Consulting"/>
  </r>
  <r>
    <x v="1"/>
    <s v="L4"/>
    <x v="150"/>
    <x v="5"/>
    <x v="4"/>
    <s v="Enterprise Technology Expert Cons."/>
    <s v="Enterprise Technology Expert Consulting"/>
    <s v="EC_SUB"/>
    <s v="Expert Cons."/>
    <s v="Expert Consulting"/>
    <s v="F2"/>
    <s v="Consulting"/>
    <s v="Consulting"/>
    <s v="Expert/Spec. Cons."/>
    <s v="Expert/Specialist Consulting"/>
  </r>
  <r>
    <x v="1"/>
    <s v="P4"/>
    <x v="151"/>
    <x v="6"/>
    <x v="5"/>
    <s v="ET Practice"/>
    <s v="Enterprise Technology Practice"/>
    <s v="SP_SUB"/>
    <s v="Practice Teams"/>
    <s v="Practice Teams"/>
    <s v="F15"/>
    <s v="PPK"/>
    <s v="Product, Practice &amp; Knowledge"/>
    <s v="PPK"/>
    <s v="Product, Practice &amp; Knowledge"/>
  </r>
  <r>
    <x v="1"/>
    <s v="AE"/>
    <x v="152"/>
    <x v="10"/>
    <x v="17"/>
    <s v="EA/MA"/>
    <s v="Executive/Manager Assistant"/>
    <s v=""/>
    <s v=""/>
    <s v=""/>
    <s v="EM"/>
    <s v="EA/MA"/>
    <s v="Executive / Manager Assistant"/>
    <s v="EA/MA"/>
    <s v="Executive / Manager Assistant"/>
  </r>
  <r>
    <x v="1"/>
    <s v="TA"/>
    <x v="153"/>
    <x v="1"/>
    <x v="1"/>
    <s v="ETR"/>
    <s v="Experienced Talent Recruiting"/>
    <s v="RT_SUB"/>
    <s v="TA Teams"/>
    <s v="Talent Acquisition Teams"/>
    <s v="RE"/>
    <s v="Talent Acquisition"/>
    <s v="Talent Acquisition"/>
    <s v="Talent Acquisition"/>
    <s v="Talent Acquisition"/>
  </r>
  <r>
    <x v="1"/>
    <s v="PJ"/>
    <x v="154"/>
    <x v="5"/>
    <x v="4"/>
    <s v="Expert Cons."/>
    <s v="Expert Consulting"/>
    <s v="EC_SUB"/>
    <s v="Expert Cons."/>
    <s v="Expert Consulting"/>
    <s v="F2"/>
    <s v="Consulting"/>
    <s v="Consulting"/>
    <s v="Expert/Spec. Cons."/>
    <s v="Expert/Specialist Consulting"/>
  </r>
  <r>
    <x v="1"/>
    <s v="ET"/>
    <x v="155"/>
    <x v="34"/>
    <x v="10"/>
    <s v="Expert Talent mgmt."/>
    <s v="Expert Talent Management"/>
    <s v="PR_SUB"/>
    <s v="Staffing &amp; PM"/>
    <s v="Staffing &amp; Program Management"/>
    <s v="TH"/>
    <s v="Talent Mgmt."/>
    <s v="Talent Management"/>
    <s v="Talent Mgmt."/>
    <s v="Talent Management"/>
  </r>
  <r>
    <x v="0"/>
    <s v="BD"/>
    <x v="156"/>
    <x v="35"/>
    <x v="12"/>
    <s v="External Talent Fxn"/>
    <s v="External Talent Function"/>
    <s v="CD_SUB"/>
    <s v="Expertise Delivery"/>
    <s v="Expertise Delivery"/>
    <s v="WU"/>
    <s v="Capability Delivery"/>
    <s v="Capability Delivery Solutions"/>
    <s v="Capability Delivery"/>
    <s v="Capability Delivery Solutions"/>
  </r>
  <r>
    <x v="1"/>
    <s v="HL"/>
    <x v="156"/>
    <x v="35"/>
    <x v="12"/>
    <s v="External Talent Fxn"/>
    <s v="External Talent Function"/>
    <s v="CD_SUB"/>
    <s v="Expertise Delivery"/>
    <s v="Expertise Delivery"/>
    <s v="WU"/>
    <s v="Capability Delivery"/>
    <s v="Capability Delivery Solutions"/>
    <s v="Capability Delivery"/>
    <s v="Capability Delivery Solutions"/>
  </r>
  <r>
    <x v="0"/>
    <s v="RN"/>
    <x v="156"/>
    <x v="35"/>
    <x v="12"/>
    <s v="External Talent Fxn"/>
    <s v="External Talent Function"/>
    <s v="CD_SUB"/>
    <s v="Expertise Delivery"/>
    <s v="Expertise Delivery"/>
    <s v="WU"/>
    <s v="Capability Delivery"/>
    <s v="Capability Delivery Solutions"/>
    <s v="Capability Delivery"/>
    <s v="Capability Delivery Solutions"/>
  </r>
  <r>
    <x v="1"/>
    <s v="FA"/>
    <x v="157"/>
    <x v="25"/>
    <x v="7"/>
    <s v="Facilities"/>
    <s v="Facilities"/>
    <s v="LO_SUB"/>
    <s v="Local Ops"/>
    <s v="Local Operations"/>
    <s v="F4"/>
    <s v="Ops"/>
    <s v="Operations"/>
    <s v="Ops"/>
    <s v="Operations"/>
  </r>
  <r>
    <x v="0"/>
    <s v="XX_FIN"/>
    <x v="158"/>
    <x v="10"/>
    <x v="3"/>
    <s v="Finance (History)"/>
    <s v="Finance (History)"/>
    <s v=""/>
    <s v=""/>
    <s v=""/>
    <s v="F3"/>
    <s v="Finance"/>
    <s v="Finance"/>
    <s v="Finance"/>
    <s v="Finance"/>
  </r>
  <r>
    <x v="1"/>
    <s v="L5"/>
    <x v="159"/>
    <x v="5"/>
    <x v="4"/>
    <s v="Financial Services Expert Cons."/>
    <s v="Financial Services Expert Consulting"/>
    <s v="EC_SUB"/>
    <s v="Expert Cons."/>
    <s v="Expert Consulting"/>
    <s v="F2"/>
    <s v="Consulting"/>
    <s v="Consulting"/>
    <s v="Expert/Spec. Cons."/>
    <s v="Expert/Specialist Consulting"/>
  </r>
  <r>
    <x v="1"/>
    <s v="D6"/>
    <x v="160"/>
    <x v="6"/>
    <x v="5"/>
    <s v="FS Practice"/>
    <s v="Financial Services Practice"/>
    <s v="SP_SUB"/>
    <s v="Practice Teams"/>
    <s v="Practice Teams"/>
    <s v="F15"/>
    <s v="PPK"/>
    <s v="Product, Practice &amp; Knowledge"/>
    <s v="PPK"/>
    <s v="Product, Practice &amp; Knowledge"/>
  </r>
  <r>
    <x v="0"/>
    <s v="CW"/>
    <x v="161"/>
    <x v="10"/>
    <x v="11"/>
    <s v="Financial Tech"/>
    <s v="Financial Technology"/>
    <s v=""/>
    <s v=""/>
    <s v=""/>
    <s v="VF"/>
    <s v="PE Service Line"/>
    <s v="Private Equity Service Line"/>
    <s v="PE Service Line"/>
    <s v="Private Equity Service Line"/>
  </r>
  <r>
    <x v="1"/>
    <s v="BB"/>
    <x v="162"/>
    <x v="10"/>
    <x v="12"/>
    <s v="Founder's Studio"/>
    <s v="Founder's Studio"/>
    <s v=""/>
    <s v=""/>
    <s v=""/>
    <s v="WU"/>
    <s v="Capability Delivery"/>
    <s v="Capability Delivery Solutions"/>
    <s v="Capability Delivery"/>
    <s v="Capability Delivery Solutions"/>
  </r>
  <r>
    <x v="1"/>
    <s v="FO"/>
    <x v="163"/>
    <x v="36"/>
    <x v="18"/>
    <s v="FRWD"/>
    <s v="FRWD"/>
    <s v="FR_SUB"/>
    <s v="FRWD"/>
    <s v="FRWD"/>
    <s v="SL"/>
    <s v="FRWD"/>
    <s v="FRWD"/>
    <s v="FRWD"/>
    <s v="FRWD"/>
  </r>
  <r>
    <x v="1"/>
    <s v="FM"/>
    <x v="164"/>
    <x v="36"/>
    <x v="18"/>
    <s v="FRWD Ops."/>
    <s v="FRWD Operations"/>
    <s v="FR_SUB"/>
    <s v="FRWD"/>
    <s v="FRWD"/>
    <s v="SL"/>
    <s v="FRWD"/>
    <s v="FRWD"/>
    <s v="FRWD"/>
    <s v="FRWD"/>
  </r>
  <r>
    <x v="1"/>
    <s v="MN"/>
    <x v="165"/>
    <x v="10"/>
    <x v="12"/>
    <s v="FBV"/>
    <s v="Future Back Ventures"/>
    <m/>
    <m/>
    <m/>
    <s v="WU"/>
    <s v="Capability Delivery"/>
    <s v="Capability Delivery Solutions"/>
    <s v="Capability Delivery"/>
    <s v="Capability Delivery Solutions"/>
  </r>
  <r>
    <x v="1"/>
    <s v="DJ"/>
    <x v="166"/>
    <x v="12"/>
    <x v="10"/>
    <s v="GBS HR and Talent"/>
    <s v="GBS HR and Talent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BW"/>
    <x v="167"/>
    <x v="1"/>
    <x v="1"/>
    <s v="GBS Recruiting"/>
    <s v="GBS Recruiting"/>
    <s v="RT_SUB"/>
    <s v="TA Teams"/>
    <s v="Talent Acquisition Teams"/>
    <s v="RE"/>
    <s v="Talent Acquisition"/>
    <s v="Talent Acquisition"/>
    <s v="Talent Acquisition"/>
    <s v="Talent Acquisition"/>
  </r>
  <r>
    <x v="0"/>
    <s v="GK"/>
    <x v="168"/>
    <x v="6"/>
    <x v="5"/>
    <s v="Knowledge Mgmt."/>
    <s v="General Knowledge Management"/>
    <s v="SP_SUB"/>
    <s v="Practice Teams"/>
    <s v="Practice Teams"/>
    <s v="F15"/>
    <s v="PPK"/>
    <s v="Product, Practice &amp; Knowledge"/>
    <s v="PPK"/>
    <s v="Product, Practice &amp; Knowledge"/>
  </r>
  <r>
    <x v="1"/>
    <s v="GB"/>
    <x v="169"/>
    <x v="37"/>
    <x v="10"/>
    <s v="Benefits"/>
    <s v="Global Benefits"/>
    <s v="MU_SUB"/>
    <s v="Comp, Benefits &amp; Mobility"/>
    <s v="Compensation, Benefits and Mobility"/>
    <s v="TH"/>
    <s v="Talent Mgmt."/>
    <s v="Talent Management"/>
    <s v="Talent Mgmt."/>
    <s v="Talent Management"/>
  </r>
  <r>
    <x v="0"/>
    <s v="EE"/>
    <x v="170"/>
    <x v="21"/>
    <x v="10"/>
    <s v="BEST"/>
    <s v="Global BEST"/>
    <s v="AB_SUB"/>
    <s v="Employee Experience"/>
    <s v="Employee Experience"/>
    <s v="TH"/>
    <s v="Talent Mgmt."/>
    <s v="Talent Management"/>
    <s v="Talent Mgmt."/>
    <s v="Talent Management"/>
  </r>
  <r>
    <x v="1"/>
    <s v="VI"/>
    <x v="170"/>
    <x v="21"/>
    <x v="10"/>
    <s v="BEST"/>
    <s v="Global BEST"/>
    <s v="AB_SUB"/>
    <s v="Employee Experience"/>
    <s v="Employee Experience"/>
    <s v="TH"/>
    <s v="Talent Mgmt."/>
    <s v="Talent Management"/>
    <s v="Talent Mgmt."/>
    <s v="Talent Management"/>
  </r>
  <r>
    <x v="1"/>
    <s v="GE"/>
    <x v="171"/>
    <x v="38"/>
    <x v="7"/>
    <s v="Global Business Services"/>
    <s v="Global Business Services"/>
    <s v="GO_SUB"/>
    <s v="Global Ops"/>
    <s v="Global Operations"/>
    <s v="F4"/>
    <s v="Ops"/>
    <s v="Operations"/>
    <s v="Ops"/>
    <s v="Operations"/>
  </r>
  <r>
    <x v="1"/>
    <s v="CZ"/>
    <x v="172"/>
    <x v="27"/>
    <x v="5"/>
    <s v="Commercial Ops"/>
    <s v="Global Commercial Operations"/>
    <s v="GC_SUB"/>
    <s v="Commercial Ops"/>
    <s v="Global Commercial Operations"/>
    <s v="F15"/>
    <s v="PPK"/>
    <s v="Product, Practice &amp; Knowledge"/>
    <s v="PPK"/>
    <s v="Product, Practice &amp; Knowledge"/>
  </r>
  <r>
    <x v="1"/>
    <s v="GJ"/>
    <x v="173"/>
    <x v="37"/>
    <x v="10"/>
    <s v="Compensation"/>
    <s v="Global Compensation"/>
    <s v="MU_SUB"/>
    <s v="Comp, Benefits &amp; Mobility"/>
    <s v="Compensation, Benefits and Mobility"/>
    <s v="TH"/>
    <s v="Talent Mgmt."/>
    <s v="Talent Management"/>
    <s v="Talent Mgmt."/>
    <s v="Talent Management"/>
  </r>
  <r>
    <x v="1"/>
    <s v="HD"/>
    <x v="174"/>
    <x v="39"/>
    <x v="8"/>
    <s v="Global Compliance"/>
    <s v="Global Compliance"/>
    <s v="RK_SUB"/>
    <s v="Global Compliance"/>
    <s v="Global Compliance"/>
    <s v="F7"/>
    <s v="Legal"/>
    <s v="Legal"/>
    <s v="Legal"/>
    <s v="Legal"/>
  </r>
  <r>
    <x v="0"/>
    <s v="H6"/>
    <x v="175"/>
    <x v="40"/>
    <x v="10"/>
    <s v="Cons. Staff Talent Mgmt"/>
    <s v="Global Consulting Staff Talent Management"/>
    <s v="GT_SUB"/>
    <s v="Talent COE"/>
    <s v="Talent Management COE"/>
    <s v="TH"/>
    <s v="Talent Mgmt."/>
    <s v="Talent Management"/>
    <s v="Talent Mgmt."/>
    <s v="Talent Management"/>
  </r>
  <r>
    <x v="1"/>
    <s v="DG"/>
    <x v="176"/>
    <x v="3"/>
    <x v="3"/>
    <s v="Global Corp. Card"/>
    <s v="Global Corporate Card"/>
    <s v="GF_SUB"/>
    <s v="Global Finance"/>
    <s v="Global Finance"/>
    <s v="F3"/>
    <s v="Finance"/>
    <s v="Finance"/>
    <s v="Finance"/>
    <s v="Finance"/>
  </r>
  <r>
    <x v="0"/>
    <s v="H5"/>
    <x v="177"/>
    <x v="12"/>
    <x v="10"/>
    <s v="CSS Talent Mgmt"/>
    <s v="Global CSS Talent Management"/>
    <s v="GR_SUB"/>
    <s v="HR &amp; Talent Mgmt."/>
    <s v="Human Resources &amp; Talent Management"/>
    <s v="TH"/>
    <s v="Talent Mgmt."/>
    <s v="Talent Management"/>
    <s v="Talent Mgmt."/>
    <s v="Talent Management"/>
  </r>
  <r>
    <x v="0"/>
    <s v="CG"/>
    <x v="178"/>
    <x v="21"/>
    <x v="10"/>
    <s v="Culture Employer Branding"/>
    <s v="Global Culture Employer Branding"/>
    <s v="AB_SUB"/>
    <s v="Employee Experience"/>
    <s v="Employee Experience"/>
    <s v="TH"/>
    <s v="Talent Mgmt."/>
    <s v="Talent Management"/>
    <s v="Talent Mgmt."/>
    <s v="Talent Management"/>
  </r>
  <r>
    <x v="0"/>
    <s v="DM"/>
    <x v="178"/>
    <x v="21"/>
    <x v="10"/>
    <s v="Culture Employer Branding"/>
    <s v="Global Culture Employer Branding"/>
    <s v="AB_SUB"/>
    <s v="Employee Experience"/>
    <s v="Employee Experience"/>
    <s v="TH"/>
    <s v="Talent Mgmt."/>
    <s v="Talent Management"/>
    <s v="Talent Mgmt."/>
    <s v="Talent Management"/>
  </r>
  <r>
    <x v="1"/>
    <s v="VH"/>
    <x v="178"/>
    <x v="21"/>
    <x v="10"/>
    <s v="Culture Employer Branding"/>
    <s v="Global Culture Employer Branding"/>
    <s v="AB_SUB"/>
    <s v="Employee Experience"/>
    <s v="Employee Experience"/>
    <s v="TH"/>
    <s v="Talent Mgmt."/>
    <s v="Talent Management"/>
    <s v="Talent Mgmt."/>
    <s v="Talent Management"/>
  </r>
  <r>
    <x v="1"/>
    <s v="GQ"/>
    <x v="179"/>
    <x v="19"/>
    <x v="10"/>
    <s v="ER"/>
    <s v="Global Employee Relations"/>
    <s v="ER_SUB"/>
    <s v="ER, Safety, Security"/>
    <s v="Global Employee Relations, Safety and Security"/>
    <s v="TH"/>
    <s v="Talent Mgmt."/>
    <s v="Talent Management"/>
    <s v="Talent Mgmt."/>
    <s v="Talent Management"/>
  </r>
  <r>
    <x v="0"/>
    <s v="GG"/>
    <x v="180"/>
    <x v="4"/>
    <x v="0"/>
    <s v="GE"/>
    <s v="Global Engineering"/>
    <s v="ID_SUB"/>
    <s v="I&amp;D"/>
    <s v="Innovation &amp; Design"/>
    <s v="VEC"/>
    <s v="Vector"/>
    <s v="Vector"/>
    <s v="Vector"/>
    <s v="Vector"/>
  </r>
  <r>
    <x v="1"/>
    <s v="EG"/>
    <x v="181"/>
    <x v="38"/>
    <x v="7"/>
    <s v="Global Events"/>
    <s v="Global Events"/>
    <s v="GO_SUB"/>
    <s v="Global Ops"/>
    <s v="Global Operations"/>
    <s v="F4"/>
    <s v="Ops"/>
    <s v="Operations"/>
    <s v="Ops"/>
    <s v="Operations"/>
  </r>
  <r>
    <x v="1"/>
    <s v="GA"/>
    <x v="182"/>
    <x v="3"/>
    <x v="3"/>
    <s v="Global Fin Accounting"/>
    <s v="Global Financial Accounting"/>
    <s v="GF_SUB"/>
    <s v="Global Finance"/>
    <s v="Global Finance"/>
    <s v="F3"/>
    <s v="Finance"/>
    <s v="Finance"/>
    <s v="Finance"/>
    <s v="Finance"/>
  </r>
  <r>
    <x v="1"/>
    <s v="GT"/>
    <x v="183"/>
    <x v="3"/>
    <x v="3"/>
    <s v="Global FP&amp;A"/>
    <s v="Global Financial Planning &amp; Analysis"/>
    <s v="GF_SUB"/>
    <s v="Global Finance"/>
    <s v="Global Finance"/>
    <s v="F3"/>
    <s v="Finance"/>
    <s v="Finance"/>
    <s v="Finance"/>
    <s v="Finance"/>
  </r>
  <r>
    <x v="0"/>
    <s v="GS"/>
    <x v="184"/>
    <x v="3"/>
    <x v="3"/>
    <s v="Global Financial Systems"/>
    <s v="Global Financial Systems"/>
    <s v="GF_SUB"/>
    <s v="Global Finance"/>
    <s v="Global Finance"/>
    <s v="F3"/>
    <s v="Finance"/>
    <s v="Finance"/>
    <s v="Finance"/>
    <s v="Finance"/>
  </r>
  <r>
    <x v="0"/>
    <s v="GR"/>
    <x v="185"/>
    <x v="12"/>
    <x v="10"/>
    <s v="Global HR"/>
    <s v="Global Human Capital"/>
    <s v="GR_SUB"/>
    <s v="HR &amp; Talent Mgmt."/>
    <s v="Human Resources &amp; Talent Management"/>
    <s v="TH"/>
    <s v="Talent Mgmt."/>
    <s v="Talent Management"/>
    <s v="Talent Mgmt."/>
    <s v="Talent Management"/>
  </r>
  <r>
    <x v="0"/>
    <s v="H2"/>
    <x v="186"/>
    <x v="12"/>
    <x v="10"/>
    <s v="Global HR Systems &amp; Analysis"/>
    <s v="Global Human Capital Systems &amp; Analysis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CD"/>
    <x v="187"/>
    <x v="10"/>
    <x v="2"/>
    <s v="Global Marketing Services"/>
    <s v="Global Marketing Services"/>
    <s v=""/>
    <s v=""/>
    <s v=""/>
    <s v="F10"/>
    <s v="Marketing"/>
    <s v="Marketing"/>
    <s v="Marketing"/>
    <s v="Marketing"/>
  </r>
  <r>
    <x v="1"/>
    <s v="AM"/>
    <x v="188"/>
    <x v="38"/>
    <x v="7"/>
    <s v="Global M&amp;A"/>
    <s v="Global Mergers &amp; Acquisitions"/>
    <s v="GO_SUB"/>
    <s v="Global Ops"/>
    <s v="Global Operations"/>
    <s v="F4"/>
    <s v="Ops"/>
    <s v="Operations"/>
    <s v="Ops"/>
    <s v="Operations"/>
  </r>
  <r>
    <x v="1"/>
    <s v="GU"/>
    <x v="189"/>
    <x v="37"/>
    <x v="10"/>
    <s v="Mobility and Immigration"/>
    <s v="Global Mobility and Immigration"/>
    <s v="MU_SUB"/>
    <s v="Comp, Benefits &amp; Mobility"/>
    <s v="Compensation, Benefits and Mobility"/>
    <s v="TH"/>
    <s v="Talent Mgmt."/>
    <s v="Talent Management"/>
    <s v="Talent Mgmt."/>
    <s v="Talent Management"/>
  </r>
  <r>
    <x v="0"/>
    <s v="H3"/>
    <x v="190"/>
    <x v="12"/>
    <x v="10"/>
    <s v="Mobility"/>
    <s v="Global Mobility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XC"/>
    <x v="191"/>
    <x v="41"/>
    <x v="13"/>
    <s v="Global Nominating Committee"/>
    <s v="Global Nominating Committee"/>
    <s v="LP_SUP"/>
    <s v="Partner Services &amp; Analysis"/>
    <s v="Global Partner Services &amp; Analysis"/>
    <s v="LD"/>
    <s v="Leadership Dev."/>
    <s v="Leadership Development"/>
    <s v="Leadership Dev."/>
    <s v="Leadership Development"/>
  </r>
  <r>
    <x v="0"/>
    <s v="XX_GO"/>
    <x v="192"/>
    <x v="38"/>
    <x v="7"/>
    <s v="Global Ops (History)"/>
    <s v="Global Operations (History)"/>
    <s v="GO_SUB"/>
    <s v="Global Ops"/>
    <s v="Global Operations"/>
    <s v="F4"/>
    <s v="Ops"/>
    <s v="Operations"/>
    <s v="Ops"/>
    <s v="Operations"/>
  </r>
  <r>
    <x v="1"/>
    <s v="PD"/>
    <x v="193"/>
    <x v="41"/>
    <x v="13"/>
    <s v="Partner Analysis"/>
    <s v="Global Partner Analysis"/>
    <s v="LP_SUP"/>
    <s v="Partner Services &amp; Analysis"/>
    <s v="Global Partner Services &amp; Analysis"/>
    <s v="LD"/>
    <s v="Leadership Dev."/>
    <s v="Leadership Development"/>
    <s v="Leadership Dev."/>
    <s v="Leadership Development"/>
  </r>
  <r>
    <x v="1"/>
    <s v="H4"/>
    <x v="194"/>
    <x v="41"/>
    <x v="13"/>
    <s v="Partner Services"/>
    <s v="Global Partner Services"/>
    <s v="LP_SUP"/>
    <s v="Partner Services &amp; Analysis"/>
    <s v="Global Partner Services &amp; Analysis"/>
    <s v="LD"/>
    <s v="Leadership Dev."/>
    <s v="Leadership Development"/>
    <s v="Leadership Dev."/>
    <s v="Leadership Development"/>
  </r>
  <r>
    <x v="1"/>
    <s v="GY"/>
    <x v="195"/>
    <x v="3"/>
    <x v="3"/>
    <s v="Global Payroll"/>
    <s v="Global Payroll"/>
    <s v="GF_SUB"/>
    <s v="Global Finance"/>
    <s v="Global Finance"/>
    <s v="F3"/>
    <s v="Finance"/>
    <s v="Finance"/>
    <s v="Finance"/>
    <s v="Finance"/>
  </r>
  <r>
    <x v="1"/>
    <s v="DN"/>
    <x v="196"/>
    <x v="40"/>
    <x v="10"/>
    <s v="PD &amp; Performance"/>
    <s v="Global PD &amp; Performance"/>
    <s v="GT_SUB"/>
    <s v="Talent COE"/>
    <s v="Talent Management COE"/>
    <s v="TH"/>
    <s v="Talent Mgmt."/>
    <s v="Talent Management"/>
    <s v="Talent Mgmt."/>
    <s v="Talent Management"/>
  </r>
  <r>
    <x v="1"/>
    <s v="WA"/>
    <x v="197"/>
    <x v="14"/>
    <x v="11"/>
    <s v="Global PEG Strategy and Operations"/>
    <s v="Global PEG Strategy and Operations"/>
    <s v="SQ_SUB"/>
    <s v="PE Strategy, Ops, Talent"/>
    <s v="PE Strategy, Operations &amp; Talent"/>
    <s v="VF"/>
    <s v="PE Service Line"/>
    <s v="Private Equity Service Line"/>
    <s v="PE Service Line"/>
    <s v="Private Equity Service Line"/>
  </r>
  <r>
    <x v="1"/>
    <s v="PZ"/>
    <x v="198"/>
    <x v="42"/>
    <x v="10"/>
    <s v="GPA"/>
    <s v="Global People Analytics"/>
    <s v="MV_SUB"/>
    <s v="TSAS"/>
    <s v="Talent Strategy, Analytics and Systems"/>
    <s v="TH"/>
    <s v="Talent Mgmt."/>
    <s v="Talent Management"/>
    <s v="Talent Mgmt."/>
    <s v="Talent Management"/>
  </r>
  <r>
    <x v="1"/>
    <s v="HB"/>
    <x v="199"/>
    <x v="43"/>
    <x v="5"/>
    <s v="Global Practices"/>
    <s v="Global Practices"/>
    <s v="PP_SUB"/>
    <s v="PPK Program Office"/>
    <s v="PPK Program Office"/>
    <s v="F15"/>
    <s v="PPK"/>
    <s v="Product, Practice &amp; Knowledge"/>
    <s v="PPK"/>
    <s v="Product, Practice &amp; Knowledge"/>
  </r>
  <r>
    <x v="1"/>
    <s v="DU"/>
    <x v="200"/>
    <x v="3"/>
    <x v="3"/>
    <s v="Global Proc."/>
    <s v="Global Procurement"/>
    <s v="GF_SUB"/>
    <s v="Global Finance"/>
    <s v="Global Finance"/>
    <s v="F3"/>
    <s v="Finance"/>
    <s v="Finance"/>
    <s v="Finance"/>
    <s v="Finance"/>
  </r>
  <r>
    <x v="1"/>
    <s v="ES"/>
    <x v="201"/>
    <x v="38"/>
    <x v="7"/>
    <s v="Global Real Estate"/>
    <s v="Global Real Estate"/>
    <s v="GO_SUB"/>
    <s v="Global Ops"/>
    <s v="Global Operations"/>
    <s v="F4"/>
    <s v="Ops"/>
    <s v="Operations"/>
    <s v="Ops"/>
    <s v="Operations"/>
  </r>
  <r>
    <x v="1"/>
    <s v="O4"/>
    <x v="202"/>
    <x v="10"/>
    <x v="9"/>
    <s v="Global RDS"/>
    <s v="Global Research and Data Services"/>
    <s v=""/>
    <s v=""/>
    <s v=""/>
    <s v="WX"/>
    <s v="RDS"/>
    <s v="Research and Data Services"/>
    <s v="RDS"/>
    <s v="Research and Data Services"/>
  </r>
  <r>
    <x v="1"/>
    <s v="GI"/>
    <x v="203"/>
    <x v="44"/>
    <x v="19"/>
    <s v="Global Risk"/>
    <s v="Global Risk"/>
    <s v="MS_SUB"/>
    <s v="Risk, Safety &amp; Security"/>
    <s v="Global Risk, Safety and Security"/>
    <s v="GD"/>
    <s v="G/R Leadership"/>
    <s v="Global/Regional Leadership"/>
    <s v="G/R Leadership"/>
    <s v="Global/Regional Leadership"/>
  </r>
  <r>
    <x v="1"/>
    <s v="H7"/>
    <x v="204"/>
    <x v="44"/>
    <x v="19"/>
    <s v="Safety and Security"/>
    <s v="Global Safety and Security"/>
    <s v="MS_SUB"/>
    <s v="Risk, Safety &amp; Security"/>
    <s v="Global Risk, Safety and Security"/>
    <s v="GD"/>
    <s v="G/R Leadership"/>
    <s v="Global/Regional Leadership"/>
    <s v="G/R Leadership"/>
    <s v="Global/Regional Leadership"/>
  </r>
  <r>
    <x v="0"/>
    <s v="GW"/>
    <x v="205"/>
    <x v="10"/>
    <x v="10"/>
    <s v="Staffing and NWoW"/>
    <s v="Global Staffing and NWoW"/>
    <s v=""/>
    <s v=""/>
    <s v=""/>
    <s v="TH"/>
    <s v="Talent Mgmt."/>
    <s v="Talent Management"/>
    <s v="Talent Mgmt."/>
    <s v="Talent Management"/>
  </r>
  <r>
    <x v="1"/>
    <s v="GO"/>
    <x v="206"/>
    <x v="3"/>
    <x v="3"/>
    <s v="Global Sustainability"/>
    <s v="Global Sustainability"/>
    <s v="GF_SUB"/>
    <s v="Global Finance"/>
    <s v="Global Finance"/>
    <s v="F3"/>
    <s v="Finance"/>
    <s v="Finance"/>
    <s v="Finance"/>
    <s v="Finance"/>
  </r>
  <r>
    <x v="1"/>
    <s v="WT"/>
    <x v="207"/>
    <x v="15"/>
    <x v="1"/>
    <s v="TA Marketing"/>
    <s v="Global TA Marketing"/>
    <s v="RC_SUB"/>
    <s v="TA CoE"/>
    <s v="Talent Acquisition CoE"/>
    <s v="RE"/>
    <s v="Talent Acquisition"/>
    <s v="Talent Acquisition"/>
    <s v="Talent Acquisition"/>
    <s v="Talent Acquisition"/>
  </r>
  <r>
    <x v="1"/>
    <s v="VJ"/>
    <x v="208"/>
    <x v="10"/>
    <x v="1"/>
    <s v="TA Transformation"/>
    <s v="Global Talent Acquisition Transformation"/>
    <s v=""/>
    <s v=""/>
    <s v=""/>
    <s v="RE"/>
    <s v="Talent Acquisition"/>
    <s v="Talent Acquisition"/>
    <s v="Talent Acquisition"/>
    <s v="Talent Acquisition"/>
  </r>
  <r>
    <x v="0"/>
    <s v="H1"/>
    <x v="209"/>
    <x v="12"/>
    <x v="10"/>
    <s v="Talent Services"/>
    <s v="Global Talent Management Services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DP"/>
    <x v="210"/>
    <x v="42"/>
    <x v="10"/>
    <s v="Talent Strategy"/>
    <s v="Global Talent Strategy"/>
    <s v="MV_SUB"/>
    <s v="TSAS"/>
    <s v="Talent Strategy, Analytics and Systems"/>
    <s v="TH"/>
    <s v="Talent Mgmt."/>
    <s v="Talent Management"/>
    <s v="Talent Mgmt."/>
    <s v="Talent Management"/>
  </r>
  <r>
    <x v="1"/>
    <s v="GX"/>
    <x v="211"/>
    <x v="3"/>
    <x v="3"/>
    <s v="Global Tax"/>
    <s v="Global Tax"/>
    <s v="GF_SUB"/>
    <s v="Global Finance"/>
    <s v="Global Finance"/>
    <s v="F3"/>
    <s v="Finance"/>
    <s v="Finance"/>
    <s v="Finance"/>
    <s v="Finance"/>
  </r>
  <r>
    <x v="1"/>
    <s v="HT"/>
    <x v="212"/>
    <x v="10"/>
    <x v="10"/>
    <s v="Global Training"/>
    <s v="Global Training"/>
    <m/>
    <m/>
    <m/>
    <s v="TH"/>
    <s v="Talent Mgmt."/>
    <s v="Talent Management"/>
    <s v="Talent Mgmt."/>
    <s v="Talent Management"/>
  </r>
  <r>
    <x v="1"/>
    <s v="TR"/>
    <x v="213"/>
    <x v="38"/>
    <x v="7"/>
    <s v="Global Travel"/>
    <s v="Global Travel"/>
    <s v="GO_SUB"/>
    <s v="Global Ops"/>
    <s v="Global Operations"/>
    <s v="F4"/>
    <s v="Ops"/>
    <s v="Operations"/>
    <s v="Ops"/>
    <s v="Operations"/>
  </r>
  <r>
    <x v="1"/>
    <s v="TG"/>
    <x v="214"/>
    <x v="3"/>
    <x v="3"/>
    <s v="Global Treasury"/>
    <s v="Global Treasury"/>
    <s v="GF_SUB"/>
    <s v="Global Finance"/>
    <s v="Global Finance"/>
    <s v="F3"/>
    <s v="Finance"/>
    <s v="Finance"/>
    <s v="Finance"/>
    <s v="Finance"/>
  </r>
  <r>
    <x v="1"/>
    <s v="DO"/>
    <x v="215"/>
    <x v="42"/>
    <x v="10"/>
    <s v="WFP &amp; Staffing"/>
    <s v="Global Workforce Planning &amp; Staffing"/>
    <s v="MV_SUB"/>
    <s v="TSAS"/>
    <s v="Talent Strategy, Analytics and Systems"/>
    <s v="TH"/>
    <s v="Talent Mgmt."/>
    <s v="Talent Management"/>
    <s v="Talent Mgmt."/>
    <s v="Talent Management"/>
  </r>
  <r>
    <x v="1"/>
    <s v="SD"/>
    <x v="216"/>
    <x v="12"/>
    <x v="10"/>
    <s v="GRS HR and Talent"/>
    <s v="GRS HR and Talent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D5"/>
    <x v="217"/>
    <x v="6"/>
    <x v="5"/>
    <s v="HC &amp; Life Sciences Practice"/>
    <s v="Healthcare &amp; Life Sciences Practice"/>
    <s v="SP_SUB"/>
    <s v="Practice Teams"/>
    <s v="Practice Teams"/>
    <s v="F15"/>
    <s v="PPK"/>
    <s v="Product, Practice &amp; Knowledge"/>
    <s v="PPK"/>
    <s v="Product, Practice &amp; Knowledge"/>
  </r>
  <r>
    <x v="1"/>
    <s v="M2"/>
    <x v="218"/>
    <x v="5"/>
    <x v="4"/>
    <s v="Healthcare Expert Cons."/>
    <s v="Healthcare Expert Consulting"/>
    <s v="EC_SUB"/>
    <s v="Expert Cons."/>
    <s v="Expert Consulting"/>
    <s v="F2"/>
    <s v="Consulting"/>
    <s v="Consulting"/>
    <s v="Expert/Spec. Cons."/>
    <s v="Expert/Specialist Consulting"/>
  </r>
  <r>
    <x v="0"/>
    <s v="DB"/>
    <x v="219"/>
    <x v="45"/>
    <x v="11"/>
    <s v="Helix"/>
    <s v="Helix"/>
    <s v="SR_SUB"/>
    <s v="PEG Innovation"/>
    <s v="PEG Innovation"/>
    <s v="VF"/>
    <s v="PE Service Line"/>
    <s v="Private Equity Service Line"/>
    <s v="PE Service Line"/>
    <s v="Private Equity Service Line"/>
  </r>
  <r>
    <x v="0"/>
    <s v="XX_HR"/>
    <x v="220"/>
    <x v="12"/>
    <x v="10"/>
    <s v="HR and Talent (History)"/>
    <s v="HR and Talent (History)"/>
    <s v="GR_SUB"/>
    <s v="HR &amp; Talent Mgmt."/>
    <s v="Human Resources &amp; Talent Management"/>
    <s v="TH"/>
    <s v="Talent Mgmt."/>
    <s v="Talent Management"/>
    <s v="Talent Mgmt."/>
    <s v="Talent Management"/>
  </r>
  <r>
    <x v="1"/>
    <s v="RU"/>
    <x v="221"/>
    <x v="12"/>
    <x v="10"/>
    <s v="HR Ops"/>
    <s v="HR Operations"/>
    <s v="GR_SUB"/>
    <s v="HR &amp; Talent Mgmt."/>
    <s v="Human Resources &amp; Talent Management"/>
    <s v="TH"/>
    <s v="Talent Mgmt."/>
    <s v="Talent Management"/>
    <s v="Talent Mgmt."/>
    <s v="Talent Management"/>
  </r>
  <r>
    <x v="0"/>
    <s v="CN"/>
    <x v="222"/>
    <x v="4"/>
    <x v="0"/>
    <s v="I&amp;D Strategy and Ops"/>
    <s v="I&amp;D Strategy and Operations"/>
    <s v="ID_SUB"/>
    <s v="I&amp;D"/>
    <s v="Innovation &amp; Design"/>
    <s v="VEC"/>
    <s v="Vector"/>
    <s v="Vector"/>
    <s v="Vector"/>
    <s v="Vector"/>
  </r>
  <r>
    <x v="0"/>
    <s v="BE"/>
    <x v="223"/>
    <x v="4"/>
    <x v="0"/>
    <s v="I&amp;D Venture Ecosystem"/>
    <s v="I&amp;D Venture Ecosystem"/>
    <s v="ID_SUB"/>
    <s v="I&amp;D"/>
    <s v="Innovation &amp; Design"/>
    <s v="VEC"/>
    <s v="Vector"/>
    <s v="Vector"/>
    <s v="Vector"/>
    <s v="Vector"/>
  </r>
  <r>
    <x v="0"/>
    <s v="IC"/>
    <x v="224"/>
    <x v="22"/>
    <x v="2"/>
    <s v="Internal Comms"/>
    <s v="Internal Communications"/>
    <s v="BA_SUB"/>
    <s v="Brand Studio"/>
    <s v="Brand Studio"/>
    <s v="F10"/>
    <s v="Marketing"/>
    <s v="Marketing"/>
    <s v="Marketing"/>
    <s v="Marketing"/>
  </r>
  <r>
    <x v="1"/>
    <s v="IS"/>
    <x v="225"/>
    <x v="3"/>
    <x v="3"/>
    <s v="Investment Services"/>
    <s v="Investment Services"/>
    <s v="GF_SUB"/>
    <s v="Global Finance"/>
    <s v="Global Finance"/>
    <s v="F3"/>
    <s v="Finance"/>
    <s v="Finance"/>
    <s v="Finance"/>
    <s v="Finance"/>
  </r>
  <r>
    <x v="1"/>
    <s v="WW"/>
    <x v="226"/>
    <x v="43"/>
    <x v="5"/>
    <s v="Knowledge Curation &amp; Support CoE"/>
    <s v="Knowledge Curation &amp; Support CoE"/>
    <s v="PP_SUB"/>
    <s v="PPK Program Office"/>
    <s v="PPK Program Office"/>
    <s v="F15"/>
    <s v="PPK"/>
    <s v="Product, Practice &amp; Knowledge"/>
    <s v="PPK"/>
    <s v="Product, Practice &amp; Knowledge"/>
  </r>
  <r>
    <x v="1"/>
    <s v="GL"/>
    <x v="227"/>
    <x v="46"/>
    <x v="12"/>
    <s v="Korea Tech COE"/>
    <s v="Korea Technology Excellence Centre"/>
    <s v="ON_SUB"/>
    <s v="Other New Services"/>
    <s v="Other New Services"/>
    <s v="WU"/>
    <s v="Capability Delivery"/>
    <s v="Capability Delivery Solutions"/>
    <s v="Capability Delivery"/>
    <s v="Capability Delivery Solutions"/>
  </r>
  <r>
    <x v="1"/>
    <s v="LE"/>
    <x v="228"/>
    <x v="1"/>
    <x v="1"/>
    <s v="LR"/>
    <s v="Leadership Recruiting"/>
    <s v="RT_SUB"/>
    <s v="TA Teams"/>
    <s v="Talent Acquisition Teams"/>
    <s v="RE"/>
    <s v="Talent Acquisition"/>
    <s v="Talent Acquisition"/>
    <s v="Talent Acquisition"/>
    <s v="Talent Acquisition"/>
  </r>
  <r>
    <x v="0"/>
    <s v="LG"/>
    <x v="229"/>
    <x v="10"/>
    <x v="8"/>
    <s v="Legal &amp; PS"/>
    <s v="Legal &amp; Professional Standards"/>
    <s v=""/>
    <s v=""/>
    <s v=""/>
    <s v="F7"/>
    <s v="Legal"/>
    <s v="Legal"/>
    <s v="Legal"/>
    <s v="Legal"/>
  </r>
  <r>
    <x v="1"/>
    <s v="LF"/>
    <x v="230"/>
    <x v="10"/>
    <x v="3"/>
    <s v="Local Finance"/>
    <s v="Local Finance"/>
    <s v=""/>
    <s v=""/>
    <s v=""/>
    <s v="F3"/>
    <s v="Finance"/>
    <s v="Finance"/>
    <s v="Finance"/>
    <s v="Finance"/>
  </r>
  <r>
    <x v="1"/>
    <s v="L1"/>
    <x v="231"/>
    <x v="12"/>
    <x v="10"/>
    <s v="Local HR and Talent"/>
    <s v="Local HR and Talent"/>
    <s v="GR_SUB"/>
    <s v="HR &amp; Talent Mgmt."/>
    <s v="Human Resources &amp; Talent Management"/>
    <s v="TH"/>
    <s v="Talent Mgmt."/>
    <s v="Talent Management"/>
    <s v="Talent Mgmt."/>
    <s v="Talent Management"/>
  </r>
  <r>
    <x v="0"/>
    <s v="HC"/>
    <x v="232"/>
    <x v="1"/>
    <x v="1"/>
    <s v="Local Recruiting"/>
    <s v="Local Recruiting"/>
    <s v="RT_SUB"/>
    <s v="TA Teams"/>
    <s v="Talent Acquisition Teams"/>
    <s v="RE"/>
    <s v="Talent Acquisition"/>
    <s v="Talent Acquisition"/>
    <s v="Talent Acquisition"/>
    <s v="Talent Acquisition"/>
  </r>
  <r>
    <x v="1"/>
    <s v="LR"/>
    <x v="232"/>
    <x v="1"/>
    <x v="1"/>
    <s v="Local Recruiting"/>
    <s v="Local Recruiting"/>
    <s v="RT_SUB"/>
    <s v="TA Teams"/>
    <s v="Talent Acquisition Teams"/>
    <s v="RE"/>
    <s v="Talent Acquisition"/>
    <s v="Talent Acquisition"/>
    <s v="Talent Acquisition"/>
    <s v="Talent Acquisition"/>
  </r>
  <r>
    <x v="1"/>
    <s v="HR"/>
    <x v="233"/>
    <x v="34"/>
    <x v="10"/>
    <s v="Local Staffing and PM"/>
    <s v="Local Staffing, and Program Management"/>
    <s v="PR_SUB"/>
    <s v="Staffing &amp; PM"/>
    <s v="Staffing &amp; Program Management"/>
    <s v="TH"/>
    <s v="Talent Mgmt."/>
    <s v="Talent Management"/>
    <s v="Talent Mgmt."/>
    <s v="Talent Management"/>
  </r>
  <r>
    <x v="1"/>
    <s v="HX"/>
    <x v="234"/>
    <x v="3"/>
    <x v="3"/>
    <s v="M&amp;A and Tech Acct"/>
    <s v="M&amp;A Integration and Technical Accounting"/>
    <s v="GF_SUB"/>
    <s v="Global Finance"/>
    <s v="Global Finance"/>
    <s v="F3"/>
    <s v="Finance"/>
    <s v="Finance"/>
    <s v="Finance"/>
    <s v="Finance"/>
  </r>
  <r>
    <x v="1"/>
    <s v="D7"/>
    <x v="235"/>
    <x v="10"/>
    <x v="12"/>
    <s v="MTG"/>
    <s v="Macro Trends Group"/>
    <s v=""/>
    <s v=""/>
    <s v=""/>
    <s v="WU"/>
    <s v="Capability Delivery"/>
    <s v="Capability Delivery Solutions"/>
    <s v="Capability Delivery"/>
    <s v="Capability Delivery Solutions"/>
  </r>
  <r>
    <x v="1"/>
    <s v="SM"/>
    <x v="236"/>
    <x v="10"/>
    <x v="2"/>
    <s v="Market Reputation"/>
    <s v="Market Reputation"/>
    <m/>
    <m/>
    <m/>
    <s v="F10"/>
    <s v="Marketing"/>
    <s v="Marketing"/>
    <s v="Marketing"/>
    <s v="Marketing"/>
  </r>
  <r>
    <x v="0"/>
    <s v="XX_MAR"/>
    <x v="237"/>
    <x v="10"/>
    <x v="2"/>
    <s v="Marketing (History)"/>
    <s v="Marketing (History)"/>
    <s v=""/>
    <s v=""/>
    <s v=""/>
    <s v="F10"/>
    <s v="Marketing"/>
    <s v="Marketing"/>
    <s v="Marketing"/>
    <s v="Marketing"/>
  </r>
  <r>
    <x v="1"/>
    <s v="WK"/>
    <x v="238"/>
    <x v="31"/>
    <x v="2"/>
    <s v="Marketing Analytics"/>
    <s v="Marketing Analytics"/>
    <s v="DM_SUB"/>
    <s v="Digital Marketing"/>
    <s v="Digital Marketing"/>
    <s v="F10"/>
    <s v="Marketing"/>
    <s v="Marketing"/>
    <s v="Marketing"/>
    <s v="Marketing"/>
  </r>
  <r>
    <x v="1"/>
    <s v="CX"/>
    <x v="239"/>
    <x v="26"/>
    <x v="2"/>
    <s v="Marketing Events"/>
    <s v="Marketing Events"/>
    <s v="EA_SUB"/>
    <s v="External Affairs"/>
    <s v="External Affairs"/>
    <s v="F10"/>
    <s v="Marketing"/>
    <s v="Marketing"/>
    <s v="Marketing"/>
    <s v="Marketing"/>
  </r>
  <r>
    <x v="0"/>
    <s v="OD"/>
    <x v="240"/>
    <x v="10"/>
    <x v="2"/>
    <s v="Marketing Strategy and Operations"/>
    <s v="Marketing Strategy and Operations"/>
    <s v=""/>
    <s v=""/>
    <s v=""/>
    <s v="F10"/>
    <s v="Marketing"/>
    <s v="Marketing"/>
    <s v="Marketing"/>
    <s v="Marketing"/>
  </r>
  <r>
    <x v="1"/>
    <s v="M3"/>
    <x v="241"/>
    <x v="5"/>
    <x v="4"/>
    <s v="Mergers &amp; Acquisition Expert Cons."/>
    <s v="Mergers &amp; Acquisition Expert Consulting"/>
    <s v="EC_SUB"/>
    <s v="Expert Cons."/>
    <s v="Expert Consulting"/>
    <s v="F2"/>
    <s v="Consulting"/>
    <s v="Consulting"/>
    <s v="Expert/Spec. Cons."/>
    <s v="Expert/Specialist Consulting"/>
  </r>
  <r>
    <x v="1"/>
    <s v="P5"/>
    <x v="242"/>
    <x v="6"/>
    <x v="5"/>
    <s v="M&amp;A Practice"/>
    <s v="Mergers &amp; Acquisitions Practice"/>
    <s v="SP_SUB"/>
    <s v="Practice Teams"/>
    <s v="Practice Teams"/>
    <s v="F15"/>
    <s v="PPK"/>
    <s v="Product, Practice &amp; Knowledge"/>
    <s v="PPK"/>
    <s v="Product, Practice &amp; Knowledge"/>
  </r>
  <r>
    <x v="1"/>
    <s v="HK"/>
    <x v="243"/>
    <x v="10"/>
    <x v="12"/>
    <s v="MyCX"/>
    <s v="MyCX"/>
    <s v=""/>
    <s v=""/>
    <s v=""/>
    <s v="WU"/>
    <s v="Capability Delivery"/>
    <s v="Capability Delivery Solutions"/>
    <s v="Capability Delivery"/>
    <s v="Capability Delivery Solutions"/>
  </r>
  <r>
    <x v="0"/>
    <s v="NW"/>
    <x v="244"/>
    <x v="10"/>
    <x v="19"/>
    <s v="NWOW"/>
    <s v="New Ways of Working"/>
    <s v=""/>
    <s v=""/>
    <s v=""/>
    <s v="GD"/>
    <s v="G/R Leadership"/>
    <s v="Global/Regional Leadership"/>
    <s v="G/R Leadership"/>
    <s v="Global/Regional Leadership"/>
  </r>
  <r>
    <x v="0"/>
    <s v="G1"/>
    <x v="245"/>
    <x v="47"/>
    <x v="20"/>
    <s v="Next Gen Ops"/>
    <s v="Next Generation Customer Success and Operations"/>
    <s v="NG_SUB"/>
    <s v="Next Gen"/>
    <s v="Next Generation Software Solutions"/>
    <s v="F18"/>
    <s v="Tech Solutions"/>
    <s v="Technology Solutions Group"/>
    <s v="Tech Solutions"/>
    <s v="Technology Solutions Group"/>
  </r>
  <r>
    <x v="0"/>
    <s v="G3"/>
    <x v="246"/>
    <x v="47"/>
    <x v="20"/>
    <s v="Next Gen Engineering and Innovation"/>
    <s v="Next Generation Engineering and Innovation"/>
    <s v="NG_SUB"/>
    <s v="Next Gen"/>
    <s v="Next Generation Software Solutions"/>
    <s v="F18"/>
    <s v="Technology Solutions"/>
    <s v="Technology Solutions Group"/>
    <s v="Tech Solutions"/>
    <s v="Technology Solutions Group"/>
  </r>
  <r>
    <x v="1"/>
    <s v="NP"/>
    <x v="247"/>
    <x v="48"/>
    <x v="21"/>
    <s v="NPS Prism"/>
    <s v="NPS Prism"/>
    <s v="NPP"/>
    <s v="NPS Prism"/>
    <s v="NPS Prism"/>
    <s v="BSL"/>
    <s v="BSL"/>
    <s v="Branded Service Line"/>
    <s v="BSL"/>
    <s v="Branded Service Line"/>
  </r>
  <r>
    <x v="0"/>
    <s v="NI"/>
    <x v="248"/>
    <x v="10"/>
    <x v="12"/>
    <s v="NPSx"/>
    <s v="NPSx"/>
    <s v=""/>
    <s v=""/>
    <s v=""/>
    <s v="WU"/>
    <s v="Capability Delivery"/>
    <s v="Capability Delivery Solutions"/>
    <s v="Capability Delivery"/>
    <s v="Capability Delivery Solutions"/>
  </r>
  <r>
    <x v="1"/>
    <s v="RD"/>
    <x v="249"/>
    <x v="49"/>
    <x v="19"/>
    <s v="Office of the RMP"/>
    <s v="Office of the RMP"/>
    <s v="MT_SUB"/>
    <s v="WWMP &amp; RMP"/>
    <s v="Office of WWMP and RMP"/>
    <s v="GD"/>
    <s v="G/R Leadership"/>
    <s v="Global/Regional Leadership"/>
    <s v="G/R Leadership"/>
    <s v="Global/Regional Leadership"/>
  </r>
  <r>
    <x v="1"/>
    <s v="MD"/>
    <x v="250"/>
    <x v="49"/>
    <x v="19"/>
    <s v="Office of the WWMP"/>
    <s v="Office of the WWMP"/>
    <s v="MT_SUB"/>
    <s v="WWMP &amp; RMP"/>
    <s v="Office of WWMP and RMP"/>
    <s v="GD"/>
    <s v="G/R Leadership"/>
    <s v="Global/Regional Leadership"/>
    <s v="G/R Leadership"/>
    <s v="Global/Regional Leadership"/>
  </r>
  <r>
    <x v="0"/>
    <s v="D4"/>
    <x v="251"/>
    <x v="6"/>
    <x v="5"/>
    <s v="Oil &amp; Gas Practice"/>
    <s v="Oil &amp; Gas Practice"/>
    <s v="SP_SUB"/>
    <s v="Practice Teams"/>
    <s v="Practice Teams"/>
    <s v="F15"/>
    <s v="PPK"/>
    <s v="Product, Practice &amp; Knowledge"/>
    <s v="PPK"/>
    <s v="Product, Practice &amp; Knowledge"/>
  </r>
  <r>
    <x v="1"/>
    <s v="XA"/>
    <x v="252"/>
    <x v="8"/>
    <x v="7"/>
    <s v="Operations Creative Services"/>
    <s v="Operations Creative Services"/>
    <s v="CS_SUB"/>
    <s v="Creative Services"/>
    <s v="Creative Services"/>
    <s v="F4"/>
    <s v="Ops"/>
    <s v="Operations"/>
    <s v="Ops"/>
    <s v="Operations"/>
  </r>
  <r>
    <x v="0"/>
    <s v="DF"/>
    <x v="253"/>
    <x v="45"/>
    <x v="11"/>
    <s v="OPEX Engine"/>
    <s v="OPEX Engine"/>
    <s v="SR_SUB"/>
    <s v="PEG Innovation"/>
    <s v="PEG Innovation"/>
    <s v="VF"/>
    <s v="PE Service Line"/>
    <s v="Private Equity Service Line"/>
    <s v="PE Service Line"/>
    <s v="Private Equity Service Line"/>
  </r>
  <r>
    <x v="1"/>
    <s v="M4"/>
    <x v="254"/>
    <x v="5"/>
    <x v="4"/>
    <s v="Organization Expert Cons."/>
    <s v="Organization Expert Consulting"/>
    <s v="EC_SUB"/>
    <s v="Expert Cons."/>
    <s v="Expert Consulting"/>
    <s v="F2"/>
    <s v="Consulting"/>
    <s v="Consulting"/>
    <s v="Expert/Spec. Cons."/>
    <s v="Expert/Specialist Consulting"/>
  </r>
  <r>
    <x v="1"/>
    <s v="P3"/>
    <x v="255"/>
    <x v="6"/>
    <x v="5"/>
    <s v="Org Practice"/>
    <s v="Organization Practice"/>
    <s v="SP_SUB"/>
    <s v="Practice Teams"/>
    <s v="Practice Teams"/>
    <s v="F15"/>
    <s v="PPK"/>
    <s v="Product, Practice &amp; Knowledge"/>
    <s v="PPK"/>
    <s v="Product, Practice &amp; Knowledge"/>
  </r>
  <r>
    <x v="1"/>
    <s v="VG"/>
    <x v="256"/>
    <x v="41"/>
    <x v="13"/>
    <s v="Partner Coaching"/>
    <s v="Partner Coaching"/>
    <s v="LP_SUP"/>
    <s v="Partner Services &amp; Analysis"/>
    <s v="Global Partner Services &amp; Analysis"/>
    <s v="LD"/>
    <s v="Leadership Dev."/>
    <s v="Leadership Development"/>
    <s v="Leadership Dev."/>
    <s v="Leadership Development"/>
  </r>
  <r>
    <x v="1"/>
    <s v="10"/>
    <x v="257"/>
    <x v="7"/>
    <x v="6"/>
    <s v="Partner"/>
    <s v="Partner"/>
    <s v="NEW_GC_SUB"/>
    <s v="Gen. Cons."/>
    <s v="General Consulting"/>
    <s v="F12"/>
    <s v="Partner"/>
    <s v="Partner"/>
    <s v="Gen Cons."/>
    <s v="General Consulting"/>
  </r>
  <r>
    <x v="1"/>
    <s v="WS"/>
    <x v="258"/>
    <x v="45"/>
    <x v="11"/>
    <s v="PEG Innovation"/>
    <s v="PEG Innovation"/>
    <s v="SR_SUB"/>
    <s v="PEG Innovation"/>
    <s v="PEG Innovation"/>
    <s v="VF"/>
    <s v="PE Service Line"/>
    <s v="Private Equity Service Line"/>
    <s v="PE Service Line"/>
    <s v="Private Equity Service Line"/>
  </r>
  <r>
    <x v="0"/>
    <s v="PH"/>
    <x v="259"/>
    <x v="45"/>
    <x v="11"/>
    <s v="PEGAR"/>
    <s v="PEGAR"/>
    <s v="SR_SUB"/>
    <s v="PEG Innovation"/>
    <s v="PEG Innovation"/>
    <s v="VF"/>
    <s v="PE Service Line"/>
    <s v="Private Equity Service Line"/>
    <s v="PE Service Line"/>
    <s v="Private Equity Service Line"/>
  </r>
  <r>
    <x v="0"/>
    <s v="VA"/>
    <x v="260"/>
    <x v="45"/>
    <x v="11"/>
    <s v="PEGAR Execution Team"/>
    <s v="PEGAR Execution Team"/>
    <s v="SR_SUB"/>
    <s v="PEG Innovation"/>
    <s v="PEG Innovation"/>
    <s v="VF"/>
    <s v="PE Service Line"/>
    <s v="Private Equity Service Line"/>
    <s v="PE Service Line"/>
    <s v="Private Equity Service Line"/>
  </r>
  <r>
    <x v="0"/>
    <s v="WE"/>
    <x v="261"/>
    <x v="45"/>
    <x v="11"/>
    <s v="PEGAR Program Office"/>
    <s v="PEGAR Program Office"/>
    <s v="SR_SUB"/>
    <s v="PEG Innovation"/>
    <s v="PEG Innovation"/>
    <s v="VF"/>
    <s v="PE Service Line"/>
    <s v="Private Equity Service Line"/>
    <s v="PE Service Line"/>
    <s v="Private Equity Service Line"/>
  </r>
  <r>
    <x v="1"/>
    <s v="RB"/>
    <x v="262"/>
    <x v="46"/>
    <x v="12"/>
    <s v="Perf. Accel. Center"/>
    <s v="Performance Acceleration Center"/>
    <s v="ON_SUB"/>
    <s v="Other New Services"/>
    <s v="Other New Services"/>
    <s v="WU"/>
    <s v="Capability Delivery"/>
    <s v="Capability Delivery Solutions"/>
    <s v="Capability Delivery"/>
    <s v="Capability Delivery Solutions"/>
  </r>
  <r>
    <x v="1"/>
    <s v="CK"/>
    <x v="263"/>
    <x v="28"/>
    <x v="6"/>
    <s v="PI Affiliate"/>
    <s v="Performance Improvement Affiliate"/>
    <s v="DA_SUB"/>
    <s v="Dedicated Affiliate"/>
    <s v="Dedicated Affiliate"/>
    <s v="F2"/>
    <s v="Consulting"/>
    <s v="Consulting"/>
    <s v="Gen Cons."/>
    <s v="General Consulting"/>
  </r>
  <r>
    <x v="1"/>
    <s v="M5"/>
    <x v="264"/>
    <x v="5"/>
    <x v="4"/>
    <s v="Performance Improvement Expert Cons."/>
    <s v="Performance Improvement Expert Consulting"/>
    <s v="EC_SUB"/>
    <s v="Expert Cons."/>
    <s v="Expert Consulting"/>
    <s v="F2"/>
    <s v="Consulting"/>
    <s v="Consulting"/>
    <s v="Expert/Spec. Cons."/>
    <s v="Expert/Specialist Consulting"/>
  </r>
  <r>
    <x v="1"/>
    <s v="P2"/>
    <x v="265"/>
    <x v="6"/>
    <x v="5"/>
    <s v="PI Practice"/>
    <s v="Performance Improvement Practice"/>
    <s v="SP_SUB"/>
    <s v="Practice Teams"/>
    <s v="Practice Teams"/>
    <s v="F15"/>
    <s v="PPK"/>
    <s v="Product, Practice &amp; Knowledge"/>
    <s v="PPK"/>
    <s v="Product, Practice &amp; Knowledge"/>
  </r>
  <r>
    <x v="0"/>
    <s v="XX_PPK2"/>
    <x v="266"/>
    <x v="10"/>
    <x v="5"/>
    <s v="PPK Leadership (History)"/>
    <s v="PPK Leadership (History)"/>
    <s v=""/>
    <s v=""/>
    <s v=""/>
    <s v="F15"/>
    <s v="PPK"/>
    <s v="Product, Practice &amp; Knowledge"/>
    <s v="PPK"/>
    <s v="Product, Practice &amp; Knowledge"/>
  </r>
  <r>
    <x v="0"/>
    <s v="XX_PPK"/>
    <x v="267"/>
    <x v="6"/>
    <x v="5"/>
    <s v="PPK Practice Team (History)"/>
    <s v="PPK Practice Team (History)"/>
    <s v="SP_SUB"/>
    <s v="Practice Teams"/>
    <s v="Practice Teams"/>
    <s v="F15"/>
    <s v="PPK"/>
    <s v="Product, Practice &amp; Knowledge"/>
    <s v="PPK"/>
    <s v="Product, Practice &amp; Knowledge"/>
  </r>
  <r>
    <x v="1"/>
    <s v="BS"/>
    <x v="268"/>
    <x v="43"/>
    <x v="5"/>
    <s v="PPK PM"/>
    <s v="PPK Program Management"/>
    <s v="PP_SUB"/>
    <s v="PPK Program Office"/>
    <s v="PPK Program Office"/>
    <s v="F15"/>
    <s v="PPK"/>
    <s v="Product, Practice &amp; Knowledge"/>
    <s v="PPK"/>
    <s v="Product, Practice &amp; Knowledge"/>
  </r>
  <r>
    <x v="0"/>
    <s v="PO"/>
    <x v="269"/>
    <x v="10"/>
    <x v="5"/>
    <s v="PPK Strategy and Ops"/>
    <s v="PPK Strategy and Operations"/>
    <s v=""/>
    <s v=""/>
    <s v=""/>
    <s v="F15"/>
    <s v="PPK"/>
    <s v="Product, Practice &amp; Knowledge"/>
    <s v="PPK"/>
    <s v="Product, Practice &amp; Knowledge"/>
  </r>
  <r>
    <x v="1"/>
    <s v="WN"/>
    <x v="270"/>
    <x v="32"/>
    <x v="2"/>
    <s v="Practice &amp; Commercial Editors"/>
    <s v="Practice &amp; Commercial Editors"/>
    <s v="ED_SUB"/>
    <s v="Editorial"/>
    <s v="Editorial"/>
    <s v="F10"/>
    <s v="Marketing"/>
    <s v="Marketing"/>
    <s v="Marketing"/>
    <s v="Marketing"/>
  </r>
  <r>
    <x v="0"/>
    <s v="CC"/>
    <x v="271"/>
    <x v="2"/>
    <x v="2"/>
    <s v="Practice Marketing"/>
    <s v="Practice Marketing"/>
    <s v="AD_SUB"/>
    <s v="Practice &amp; Acct Marketing"/>
    <s v="Practice &amp; Account Marketing"/>
    <s v="F10"/>
    <s v="Marketing"/>
    <s v="Marketing"/>
    <s v="Marketing"/>
    <s v="Marketing"/>
  </r>
  <r>
    <x v="1"/>
    <s v="EP"/>
    <x v="271"/>
    <x v="2"/>
    <x v="2"/>
    <s v="Practice Marketing"/>
    <s v="Practice Marketing"/>
    <s v="AD_SUB"/>
    <s v="Practice &amp; Acct Marketing"/>
    <s v="Practice &amp; Account Marketing"/>
    <s v="F10"/>
    <s v="Marketing"/>
    <s v="Marketing"/>
    <s v="Marketing"/>
    <s v="Marketing"/>
  </r>
  <r>
    <x v="0"/>
    <s v="IM"/>
    <x v="271"/>
    <x v="2"/>
    <x v="2"/>
    <s v="Practice Marketing"/>
    <s v="Practice Marketing"/>
    <s v="AD_SUB"/>
    <s v="Practice &amp; Acct Marketing"/>
    <s v="Practice &amp; Account Marketing"/>
    <s v="F10"/>
    <s v="Marketing"/>
    <s v="Marketing"/>
    <s v="Marketing"/>
    <s v="Marketing"/>
  </r>
  <r>
    <x v="0"/>
    <s v="BM"/>
    <x v="272"/>
    <x v="10"/>
    <x v="2"/>
    <s v="Print &amp; Online Media"/>
    <s v="Print &amp; Online Media"/>
    <s v=""/>
    <s v=""/>
    <s v=""/>
    <s v="F10"/>
    <s v="Marketing"/>
    <s v="Marketing"/>
    <s v="Marketing"/>
    <s v="Marketing"/>
  </r>
  <r>
    <x v="0"/>
    <s v="DH"/>
    <x v="273"/>
    <x v="45"/>
    <x v="11"/>
    <s v="PE Data Gov."/>
    <s v="Private Equity Data Governance"/>
    <s v="SR_SUB"/>
    <s v="PEG Innovation"/>
    <s v="PEG Innovation"/>
    <s v="VF"/>
    <s v="PE Service Line"/>
    <s v="Private Equity Service Line"/>
    <s v="PE Service Line"/>
    <s v="Private Equity Service Line"/>
  </r>
  <r>
    <x v="1"/>
    <s v="PI"/>
    <x v="274"/>
    <x v="29"/>
    <x v="11"/>
    <s v="PEDV Strategy &amp; Ops"/>
    <s v="Private Equity Data Venture Strategy &amp; Operations"/>
    <s v="PD_SUB"/>
    <s v="PEDV"/>
    <s v="Private Equity Data Ventures"/>
    <s v="VF"/>
    <s v="PE Service Line"/>
    <s v="Private Equity Service Line"/>
    <s v="PE Service Line"/>
    <s v="Private Equity Service Line"/>
  </r>
  <r>
    <x v="1"/>
    <s v="M6"/>
    <x v="275"/>
    <x v="5"/>
    <x v="4"/>
    <s v="Private Equity Expert Cons."/>
    <s v="Private Equity Expert Consulting"/>
    <s v="EC_SUB"/>
    <s v="Expert Cons."/>
    <s v="Expert Consulting"/>
    <s v="F2"/>
    <s v="Consulting"/>
    <s v="Consulting"/>
    <s v="Expert/Spec. Cons."/>
    <s v="Expert/Specialist Consulting"/>
  </r>
  <r>
    <x v="1"/>
    <s v="D2"/>
    <x v="276"/>
    <x v="6"/>
    <x v="5"/>
    <s v="PEG Practice"/>
    <s v="Private Equity Practice"/>
    <s v="SP_SUB"/>
    <s v="Practice Teams"/>
    <s v="Practice Teams"/>
    <s v="F15"/>
    <s v="PPK"/>
    <s v="Product, Practice &amp; Knowledge"/>
    <s v="PPK"/>
    <s v="Product, Practice &amp; Knowledge"/>
  </r>
  <r>
    <x v="0"/>
    <s v="PE"/>
    <x v="277"/>
    <x v="50"/>
    <x v="11"/>
    <s v="PE Strategy &amp; Ops"/>
    <s v="Private Equity Strategy and Operations"/>
    <s v="SR_PEG"/>
    <s v="Private Equity Service Line"/>
    <s v="Private Equity Service Line"/>
    <s v="VF"/>
    <s v="PE Service Line"/>
    <s v="Private Equity Service Line"/>
    <s v="PE Service Line"/>
    <s v="Private Equity Service Line"/>
  </r>
  <r>
    <x v="1"/>
    <s v="TZ"/>
    <x v="278"/>
    <x v="18"/>
    <x v="0"/>
    <s v="Process Excellence"/>
    <s v="Process Excellence"/>
    <s v="ET_SUB"/>
    <s v="Enterprise Tech"/>
    <s v="Enterprise Tech"/>
    <s v="VEC"/>
    <s v="Vector"/>
    <s v="Vector"/>
    <s v="Vector"/>
    <s v="Vector"/>
  </r>
  <r>
    <x v="0"/>
    <s v="PK"/>
    <x v="279"/>
    <x v="6"/>
    <x v="5"/>
    <s v="PPK"/>
    <s v="Product, Practice &amp; Knowledge"/>
    <s v="SP_SUB"/>
    <s v="Practice Teams"/>
    <s v="Practice Teams"/>
    <s v="F15"/>
    <s v="PPK"/>
    <s v="Product, Practice &amp; Knowledge"/>
    <s v="PPK"/>
    <s v="Product, Practice &amp; Knowledge"/>
  </r>
  <r>
    <x v="1"/>
    <s v="PB"/>
    <x v="280"/>
    <x v="26"/>
    <x v="2"/>
    <s v="Public Relations and External Communications"/>
    <s v="Public Relations and External Communications"/>
    <s v="EA_SUB"/>
    <s v="External Affairs"/>
    <s v="External Affairs"/>
    <s v="F10"/>
    <s v="Marketing"/>
    <s v="Marketing"/>
    <s v="Marketing"/>
    <s v="Marketing"/>
  </r>
  <r>
    <x v="1"/>
    <s v="PX"/>
    <x v="281"/>
    <x v="29"/>
    <x v="11"/>
    <s v="Pyxis"/>
    <s v="Pyxis"/>
    <s v="PD_SUB"/>
    <s v="PEDV"/>
    <s v="Private Equity Data Ventures"/>
    <s v="VF"/>
    <s v="PE Service Line"/>
    <s v="Private Equity Service Line"/>
    <s v="PE Service Line"/>
    <s v="Private Equity Service Line"/>
  </r>
  <r>
    <x v="1"/>
    <s v="WZ"/>
    <x v="282"/>
    <x v="32"/>
    <x v="2"/>
    <s v="QC &amp; Production"/>
    <s v="QC &amp; Production"/>
    <s v="ED_SUB"/>
    <s v="Editorial"/>
    <s v="Editorial"/>
    <s v="F10"/>
    <s v="Marketing"/>
    <s v="Marketing"/>
    <s v="Marketing"/>
    <s v="Marketing"/>
  </r>
  <r>
    <x v="0"/>
    <s v="QC"/>
    <x v="283"/>
    <x v="51"/>
    <x v="22"/>
    <s v="Qvartz Cons."/>
    <s v="Qvartz Consulting"/>
    <s v="XX_QVA"/>
    <s v="Qvartz"/>
    <s v="Qvartz"/>
    <s v="SL"/>
    <s v="FRWD"/>
    <s v="FRWD"/>
    <s v="FRWD"/>
    <s v="FRWD"/>
  </r>
  <r>
    <x v="1"/>
    <s v="MC"/>
    <x v="284"/>
    <x v="25"/>
    <x v="7"/>
    <s v="Reception"/>
    <s v="Reception"/>
    <s v="LO_SUB"/>
    <s v="Local Ops"/>
    <s v="Local Operations"/>
    <s v="F4"/>
    <s v="Ops"/>
    <s v="Operations"/>
    <s v="Ops"/>
    <s v="Operations"/>
  </r>
  <r>
    <x v="0"/>
    <s v="WR"/>
    <x v="285"/>
    <x v="15"/>
    <x v="1"/>
    <s v="Recruiting Ops &amp; Systems"/>
    <s v="Recruiting Ops &amp; Systems"/>
    <s v="RC_SUB"/>
    <s v="TA CoE"/>
    <s v="Talent Acquisition CoE"/>
    <s v="RE"/>
    <s v="Talent Acquisition"/>
    <s v="Talent Acquisition"/>
    <s v="Talent Acquisition"/>
    <s v="Talent Acquisition"/>
  </r>
  <r>
    <x v="0"/>
    <s v="A7"/>
    <x v="286"/>
    <x v="10"/>
    <x v="15"/>
    <s v="Regional DEI"/>
    <s v="Regional DEI"/>
    <s v=""/>
    <s v=""/>
    <s v=""/>
    <s v="DI"/>
    <s v="DEI"/>
    <s v="Diversity, Equity and Inclusion"/>
    <s v="DEI"/>
    <s v="Diversity, Equity and Inclusion"/>
  </r>
  <r>
    <x v="1"/>
    <s v="RA"/>
    <x v="287"/>
    <x v="10"/>
    <x v="17"/>
    <s v="Regional EA/MA"/>
    <s v="Regional Executive/Manager Assistant"/>
    <s v=""/>
    <s v=""/>
    <s v=""/>
    <s v="EM"/>
    <s v="EA/MA"/>
    <s v="Executive / Manager Assistant"/>
    <s v="EA/MA"/>
    <s v="Executive / Manager Assistant"/>
  </r>
  <r>
    <x v="0"/>
    <s v="RK"/>
    <x v="288"/>
    <x v="52"/>
    <x v="2"/>
    <s v="Relationship Marketing"/>
    <s v="Relationship Marketing"/>
    <s v="RM_SUB"/>
    <s v="Relationship Marketing"/>
    <s v="Relationship Marketing"/>
    <s v="F10"/>
    <s v="Marketing"/>
    <s v="Marketing"/>
    <s v="Marketing"/>
    <s v="Marketing"/>
  </r>
  <r>
    <x v="1"/>
    <s v="K1"/>
    <x v="289"/>
    <x v="27"/>
    <x v="5"/>
    <s v="R&amp;A"/>
    <s v="Reporting and Analytics CoE"/>
    <s v="GC_SUB"/>
    <s v="Commercial Ops"/>
    <s v="Global Commercial Operations"/>
    <s v="F15"/>
    <s v="PPK"/>
    <s v="Product, Practice &amp; Knowledge"/>
    <s v="PPK"/>
    <s v="Product, Practice &amp; Knowledge"/>
  </r>
  <r>
    <x v="0"/>
    <s v="LI"/>
    <x v="290"/>
    <x v="10"/>
    <x v="9"/>
    <s v="RDS"/>
    <s v="Research and Data Services"/>
    <s v=""/>
    <s v=""/>
    <s v=""/>
    <s v="WX"/>
    <s v="RDS"/>
    <s v="Research and Data Services"/>
    <s v="RDS"/>
    <s v="Research and Data Services"/>
  </r>
  <r>
    <x v="1"/>
    <s v="M7"/>
    <x v="291"/>
    <x v="5"/>
    <x v="4"/>
    <s v="Retail Expert Cons."/>
    <s v="Retail Expert Consulting"/>
    <s v="EC_SUB"/>
    <s v="Expert Cons."/>
    <s v="Expert Consulting"/>
    <s v="F2"/>
    <s v="Consulting"/>
    <s v="Consulting"/>
    <s v="Expert/Spec. Cons."/>
    <s v="Expert/Specialist Consulting"/>
  </r>
  <r>
    <x v="1"/>
    <s v="E3"/>
    <x v="292"/>
    <x v="6"/>
    <x v="5"/>
    <s v="Retail Practice"/>
    <s v="Retail Practice"/>
    <s v="SP_SUB"/>
    <s v="Practice Teams"/>
    <s v="Practice Teams"/>
    <s v="F15"/>
    <s v="PPK"/>
    <s v="Product, Practice &amp; Knowledge"/>
    <s v="PPK"/>
    <s v="Product, Practice &amp; Knowledge"/>
  </r>
  <r>
    <x v="1"/>
    <s v="M8"/>
    <x v="293"/>
    <x v="5"/>
    <x v="4"/>
    <s v="Social Impact Expert Cons."/>
    <s v="Social Impact Expert Consulting"/>
    <s v="EC_SUB"/>
    <s v="Expert Cons."/>
    <s v="Expert Consulting"/>
    <s v="F2"/>
    <s v="Consulting"/>
    <s v="Consulting"/>
    <s v="Expert/Spec. Cons."/>
    <s v="Expert/Specialist Consulting"/>
  </r>
  <r>
    <x v="1"/>
    <s v="D8"/>
    <x v="294"/>
    <x v="6"/>
    <x v="5"/>
    <s v="Social Impact Practice"/>
    <s v="Social Impact Practice"/>
    <s v="SP_SUB"/>
    <s v="Practice Teams"/>
    <s v="Practice Teams"/>
    <s v="F15"/>
    <s v="PPK"/>
    <s v="Product, Practice &amp; Knowledge"/>
    <s v="PPK"/>
    <s v="Product, Practice &amp; Knowledge"/>
  </r>
  <r>
    <x v="0"/>
    <s v="A8"/>
    <x v="295"/>
    <x v="10"/>
    <x v="16"/>
    <s v="Software &amp; Data Comm."/>
    <s v="Software and Data Commercialization"/>
    <s v=""/>
    <s v=""/>
    <s v=""/>
    <s v="F16"/>
    <s v="E2"/>
    <s v="Engine 2"/>
    <s v="E2"/>
    <s v="Engine 2"/>
  </r>
  <r>
    <x v="1"/>
    <s v="PL"/>
    <x v="296"/>
    <x v="53"/>
    <x v="4"/>
    <s v="Specialist Cons."/>
    <s v="Specialist Consulting"/>
    <s v="SC_SUB"/>
    <s v="Specialist Cons."/>
    <s v="Specialist Consulting"/>
    <s v="F2"/>
    <s v="Consulting"/>
    <s v="Consulting"/>
    <s v="Expert/Spec. Cons."/>
    <s v="Expert/Specialist Consulting"/>
  </r>
  <r>
    <x v="0"/>
    <s v="DK"/>
    <x v="297"/>
    <x v="50"/>
    <x v="11"/>
    <s v="SPS"/>
    <s v="SPS"/>
    <s v="SR_PEG"/>
    <s v="Private Equity Service Line"/>
    <s v="Private Equity Service Line"/>
    <s v="VF"/>
    <s v="PE Service Line"/>
    <s v="Private Equity Service Line"/>
    <s v="PE Service Line"/>
    <s v="Private Equity Service Line"/>
  </r>
  <r>
    <x v="1"/>
    <s v="HY"/>
    <x v="298"/>
    <x v="5"/>
    <x v="4"/>
    <s v="Strat &amp; Trans Expert Cons."/>
    <s v="Strategy &amp; Transformation Expert Consulting Department"/>
    <s v="EC_SUB"/>
    <s v="Expert Cons."/>
    <s v="Expert Consulting"/>
    <s v="F2"/>
    <s v="Consulting"/>
    <s v="Consulting"/>
    <s v="Expert/Spec. Cons."/>
    <s v="Expert/Specialist Consulting"/>
  </r>
  <r>
    <x v="1"/>
    <s v="N1"/>
    <x v="299"/>
    <x v="5"/>
    <x v="4"/>
    <s v="Strategy Expert Cons."/>
    <s v="Strategy Expert Consulting"/>
    <s v="EC_SUB"/>
    <s v="Expert Cons."/>
    <s v="Expert Consulting"/>
    <s v="F2"/>
    <s v="Consulting"/>
    <s v="Consulting"/>
    <s v="Expert/Spec. Cons."/>
    <s v="Expert/Specialist Consulting"/>
  </r>
  <r>
    <x v="0"/>
    <s v="BN"/>
    <x v="300"/>
    <x v="6"/>
    <x v="5"/>
    <s v="Strategy Practice"/>
    <s v="Strategy Practice"/>
    <s v="SP_SUB"/>
    <s v="Practice Teams"/>
    <s v="Practice Teams"/>
    <s v="F15"/>
    <s v="PPK"/>
    <s v="Product, Practice &amp; Knowledge"/>
    <s v="PPK"/>
    <s v="Product, Practice &amp; Knowledge"/>
  </r>
  <r>
    <x v="0"/>
    <s v="FC"/>
    <x v="300"/>
    <x v="6"/>
    <x v="5"/>
    <s v="Strategy Practice"/>
    <s v="Strategy Practice"/>
    <s v="SP_SUB"/>
    <s v="Practice Teams"/>
    <s v="Practice Teams"/>
    <s v="F15"/>
    <s v="PPK"/>
    <s v="Product, Practice &amp; Knowledge"/>
    <s v="PPK"/>
    <s v="Product, Practice &amp; Knowledge"/>
  </r>
  <r>
    <x v="1"/>
    <s v="P1"/>
    <x v="300"/>
    <x v="6"/>
    <x v="5"/>
    <s v="Strategy Practice"/>
    <s v="Strategy Practice"/>
    <s v="SP_SUB"/>
    <s v="Practice Teams"/>
    <s v="Practice Teams"/>
    <s v="F15"/>
    <s v="PPK"/>
    <s v="Product, Practice &amp; Knowledge"/>
    <s v="PPK"/>
    <s v="Product, Practice &amp; Knowledge"/>
  </r>
  <r>
    <x v="1"/>
    <s v="N2"/>
    <x v="301"/>
    <x v="5"/>
    <x v="4"/>
    <s v="Sustainability &amp; Corporate Responsibility Expert Cons."/>
    <s v="Sustainability &amp; Corporate Responsibility Expert Consulting"/>
    <s v="EC_SUB"/>
    <s v="Expert Cons."/>
    <s v="Expert Consulting"/>
    <s v="F2"/>
    <s v="Consulting"/>
    <s v="Consulting"/>
    <s v="Expert/Spec. Cons."/>
    <s v="Expert/Specialist Consulting"/>
  </r>
  <r>
    <x v="0"/>
    <s v="E7"/>
    <x v="302"/>
    <x v="6"/>
    <x v="5"/>
    <s v="S&amp;R Practice"/>
    <s v="Sustainability &amp; Responsibility Practice"/>
    <s v="SP_SUB"/>
    <s v="Practice Teams"/>
    <s v="Practice Teams"/>
    <s v="F15"/>
    <s v="PPK"/>
    <s v="Product, Practice &amp; Knowledge"/>
    <s v="PPK"/>
    <s v="Product, Practice &amp; Knowledge"/>
  </r>
  <r>
    <x v="1"/>
    <s v="SR"/>
    <x v="302"/>
    <x v="6"/>
    <x v="5"/>
    <s v="S&amp;R Practice"/>
    <s v="Sustainability &amp; Responsibility Practice"/>
    <s v="SP_SUB"/>
    <s v="Practice Teams"/>
    <s v="Practice Teams"/>
    <s v="F15"/>
    <s v="PPK"/>
    <s v="Product, Practice &amp; Knowledge"/>
    <s v="PPK"/>
    <s v="Product, Practice &amp; Knowledge"/>
  </r>
  <r>
    <x v="1"/>
    <s v="DX"/>
    <x v="303"/>
    <x v="15"/>
    <x v="1"/>
    <s v="TA Assessment"/>
    <s v="Talent Acquisition Assessment"/>
    <s v="RC_SUB"/>
    <s v="TA CoE"/>
    <s v="Talent Acquisition CoE"/>
    <s v="RE"/>
    <s v="Talent Acquisition"/>
    <s v="Talent Acquisition"/>
    <s v="Talent Acquisition"/>
    <s v="Talent Acquisition"/>
  </r>
  <r>
    <x v="1"/>
    <s v="DW"/>
    <x v="304"/>
    <x v="15"/>
    <x v="1"/>
    <s v="TA DEI"/>
    <s v="Talent Acquisition DEI"/>
    <s v="RC_SUB"/>
    <s v="TA CoE"/>
    <s v="Talent Acquisition CoE"/>
    <s v="RE"/>
    <s v="Talent Acquisition"/>
    <s v="Talent Acquisition"/>
    <s v="Talent Acquisition"/>
    <s v="Talent Acquisition"/>
  </r>
  <r>
    <x v="1"/>
    <s v="DY"/>
    <x v="305"/>
    <x v="15"/>
    <x v="1"/>
    <s v="TA L&amp;D"/>
    <s v="Talent Acquisition Learning and Development"/>
    <s v="RC_SUB"/>
    <s v="TA CoE"/>
    <s v="Talent Acquisition CoE"/>
    <s v="RE"/>
    <s v="Talent Acquisition"/>
    <s v="Talent Acquisition"/>
    <s v="Talent Acquisition"/>
    <s v="Talent Acquisition"/>
  </r>
  <r>
    <x v="0"/>
    <s v="WQ"/>
    <x v="306"/>
    <x v="15"/>
    <x v="1"/>
    <s v="TA Shared Services"/>
    <s v="Talent Acquisition Shared Services"/>
    <s v="RC_SUB"/>
    <s v="TA CoE"/>
    <s v="Talent Acquisition CoE"/>
    <s v="RE"/>
    <s v="Talent Acquisition"/>
    <s v="Talent Acquisition"/>
    <s v="Talent Acquisition"/>
    <s v="Talent Acquisition"/>
  </r>
  <r>
    <x v="1"/>
    <s v="WO"/>
    <x v="307"/>
    <x v="15"/>
    <x v="1"/>
    <s v="TA Sourcing"/>
    <s v="Talent Acquisition Sourcing"/>
    <s v="RC_SUB"/>
    <s v="TA CoE"/>
    <s v="Talent Acquisition CoE"/>
    <s v="RE"/>
    <s v="Talent Acquisition"/>
    <s v="Talent Acquisition"/>
    <s v="Talent Acquisition"/>
    <s v="Talent Acquisition"/>
  </r>
  <r>
    <x v="1"/>
    <s v="E8"/>
    <x v="308"/>
    <x v="15"/>
    <x v="1"/>
    <s v="TA Tools &amp; Technology"/>
    <s v="Talent Acquisition Tools and Technology"/>
    <s v="RC_SUB"/>
    <s v="TA CoE"/>
    <s v="Talent Acquisition CoE"/>
    <s v="RE"/>
    <s v="Talent Acquisition"/>
    <s v="Talent Acquisition"/>
    <s v="Talent Acquisition"/>
    <s v="Talent Acquisition"/>
  </r>
  <r>
    <x v="0"/>
    <s v="XX_TMCOE"/>
    <x v="309"/>
    <x v="40"/>
    <x v="10"/>
    <s v="Talent Mgmt COE (History)"/>
    <s v="Talent Mgmt COE (History)"/>
    <s v="GT_SUB"/>
    <s v="Talent COE"/>
    <s v="Talent Management COE"/>
    <s v="TH"/>
    <s v="Talent Mgmt."/>
    <s v="Talent Management"/>
    <s v="Talent Mgmt."/>
    <s v="Talent Management"/>
  </r>
  <r>
    <x v="1"/>
    <s v="MT"/>
    <x v="310"/>
    <x v="54"/>
    <x v="20"/>
    <s v="BSS Architecture &amp; Engineering"/>
    <s v="Tech Solutions - BSS Architecture &amp; Engineering"/>
    <s v="MJ_SUB"/>
    <s v="BSS"/>
    <s v="Business Software Solutions"/>
    <s v="F18"/>
    <s v="TSG"/>
    <s v="Technology Solutions Group"/>
    <s v="Tech Solutions"/>
    <s v="Technology Solutions Group"/>
  </r>
  <r>
    <x v="1"/>
    <s v="DZ"/>
    <x v="311"/>
    <x v="54"/>
    <x v="20"/>
    <s v="BSS Data &amp; Analytics"/>
    <s v="Tech Solutions - BSS Data &amp; Analytics"/>
    <s v="MJ_SUB"/>
    <s v="BSS"/>
    <s v="Business Software Solutions"/>
    <s v="F18"/>
    <s v="TSG"/>
    <s v="Technology Solutions Group"/>
    <s v="Tech Solutions"/>
    <s v="Technology Solutions Group"/>
  </r>
  <r>
    <x v="1"/>
    <s v="EB"/>
    <x v="312"/>
    <x v="54"/>
    <x v="20"/>
    <s v="BSS Finance Apps"/>
    <s v="Tech Solutions - BSS Finance Apps"/>
    <s v="MJ_SUB"/>
    <s v="BSS"/>
    <s v="Business Software Solutions"/>
    <s v="F18"/>
    <s v="TSG"/>
    <s v="Technology Solutions Group"/>
    <s v="Tech Solutions"/>
    <s v="Technology Solutions Group"/>
  </r>
  <r>
    <x v="1"/>
    <s v="KM"/>
    <x v="313"/>
    <x v="54"/>
    <x v="20"/>
    <s v="BSS Knowledge Mgmt."/>
    <s v="Tech Solutions - BSS Knowledge Management"/>
    <s v="MJ_SUB"/>
    <s v="BSS"/>
    <s v="Business Software Solutions"/>
    <s v="F18"/>
    <s v="TSG"/>
    <s v="Technology Solutions Group"/>
    <s v="Tech Solutions"/>
    <s v="Technology Solutions Group"/>
  </r>
  <r>
    <x v="1"/>
    <s v="EK"/>
    <x v="314"/>
    <x v="54"/>
    <x v="20"/>
    <s v="BSS Legal &amp; Risk Apps"/>
    <s v="Tech Solutions - BSS Legal &amp; Risk Apps"/>
    <s v="MJ_SUB"/>
    <s v="BSS"/>
    <s v="Business Software Solutions"/>
    <s v="F18"/>
    <s v="TSG"/>
    <s v="Technology Solutions Group"/>
    <s v="Tech Solutions"/>
    <s v="Technology Solutions Group"/>
  </r>
  <r>
    <x v="1"/>
    <s v="EL"/>
    <x v="315"/>
    <x v="54"/>
    <x v="20"/>
    <s v="BSS Mkting &amp; Comm Apps"/>
    <s v="Tech Solutions - BSS Marketing &amp; Commercial Apps"/>
    <s v="MJ_SUB"/>
    <s v="BSS"/>
    <s v="Business Software Solutions"/>
    <s v="F18"/>
    <s v="TSG"/>
    <s v="Technology Solutions Group"/>
    <s v="Tech Solutions"/>
    <s v="Technology Solutions Group"/>
  </r>
  <r>
    <x v="1"/>
    <s v="EQ"/>
    <x v="316"/>
    <x v="54"/>
    <x v="20"/>
    <s v="BSS PEG Apps"/>
    <s v="Tech Solutions - BSS PEG Apps"/>
    <s v="MJ_SUB"/>
    <s v="BSS"/>
    <s v="Business Software Solutions"/>
    <s v="F18"/>
    <s v="TSG"/>
    <s v="Technology Solutions Group"/>
    <s v="Tech Solutions"/>
    <s v="Technology Solutions Group"/>
  </r>
  <r>
    <x v="1"/>
    <s v="EU"/>
    <x v="317"/>
    <x v="54"/>
    <x v="20"/>
    <s v="BSS Talent Apps"/>
    <s v="Tech Solutions - BSS Talent Apps"/>
    <s v="MJ_SUB"/>
    <s v="BSS"/>
    <s v="Business Software Solutions"/>
    <s v="F18"/>
    <s v="TSG"/>
    <s v="Technology Solutions Group"/>
    <s v="Tech Solutions"/>
    <s v="Technology Solutions Group"/>
  </r>
  <r>
    <x v="1"/>
    <s v="FJ"/>
    <x v="318"/>
    <x v="55"/>
    <x v="20"/>
    <s v="Tech Solutions - Cyber Architet. &amp; Eng."/>
    <s v="Tech Solutions - Cyber Architecture &amp; Engineering"/>
    <s v="MO_SUB"/>
    <s v="IS"/>
    <s v="Information Security"/>
    <s v="F18"/>
    <s v="TSG"/>
    <s v="Technology Solutions Group"/>
    <s v="Tech Solutions"/>
    <s v="Technology Solutions Group"/>
  </r>
  <r>
    <x v="1"/>
    <s v="FK"/>
    <x v="319"/>
    <x v="55"/>
    <x v="20"/>
    <s v="Tech Solutions - Cyber Identity &amp; Access"/>
    <s v="Tech Solutions - Cyber Identity &amp; Access"/>
    <s v="MO_SUB"/>
    <s v="IS"/>
    <s v="Information Security"/>
    <s v="F18"/>
    <s v="TSG"/>
    <s v="Technology Solutions Group"/>
    <s v="Tech Solutions"/>
    <s v="Technology Solutions Group"/>
  </r>
  <r>
    <x v="1"/>
    <s v="FN"/>
    <x v="320"/>
    <x v="55"/>
    <x v="20"/>
    <s v="Tech Solutions - Cyber Risk Mgmt."/>
    <s v="Tech Solutions - Cyber Risk Management"/>
    <s v="MO_SUB"/>
    <s v="IS"/>
    <s v="Information Security"/>
    <s v="F18"/>
    <s v="TSG"/>
    <s v="Technology Solutions Group"/>
    <s v="Tech Solutions"/>
    <s v="Technology Solutions Group"/>
  </r>
  <r>
    <x v="1"/>
    <s v="FP"/>
    <x v="321"/>
    <x v="55"/>
    <x v="20"/>
    <s v="Tech Solutions - Cyber Security &amp; Portfolio Mgmt."/>
    <s v="Tech Solutions - Cyber Security &amp; Portfolio Management"/>
    <s v="MO_SUB"/>
    <s v="IS"/>
    <s v="Information Security"/>
    <s v="F18"/>
    <s v="TSG"/>
    <s v="Technology Solutions Group"/>
    <s v="Tech Solutions"/>
    <s v="Technology Solutions Group"/>
  </r>
  <r>
    <x v="1"/>
    <s v="FQ"/>
    <x v="322"/>
    <x v="55"/>
    <x v="20"/>
    <s v="Tech Solutions - Cyber Threat Mgmt."/>
    <s v="Tech Solutions - Cyber Threat Management"/>
    <s v="MO_SUB"/>
    <s v="IS"/>
    <s v="Information Security"/>
    <s v="F18"/>
    <s v="TSG"/>
    <s v="Technology Solutions Group"/>
    <s v="Tech Solutions"/>
    <s v="Technology Solutions Group"/>
  </r>
  <r>
    <x v="1"/>
    <s v="EZ"/>
    <x v="323"/>
    <x v="56"/>
    <x v="20"/>
    <s v="Tech Solutions - DWX Collab Eng."/>
    <s v="Tech Solutions - DWX Collaboration Engineering"/>
    <s v="MK_SUB"/>
    <s v="DWX"/>
    <s v="Digital Workplace Experience"/>
    <s v="F18"/>
    <s v="TSG"/>
    <s v="Technology Solutions Group"/>
    <s v="Tech Solutions"/>
    <s v="Technology Solutions Group"/>
  </r>
  <r>
    <x v="1"/>
    <s v="EW"/>
    <x v="324"/>
    <x v="56"/>
    <x v="20"/>
    <s v="Tech Solutions - DWX Cons Productivity Prod"/>
    <s v="Tech Solutions - DWX Consultant Productivity Product"/>
    <s v="MK_SUB"/>
    <s v="DWX"/>
    <s v="Digital Workplace Experience"/>
    <s v="F18"/>
    <s v="TSG"/>
    <s v="Technology Solutions Group"/>
    <s v="Tech Solutions"/>
    <s v="Technology Solutions Group"/>
  </r>
  <r>
    <x v="0"/>
    <s v="KT"/>
    <x v="324"/>
    <x v="56"/>
    <x v="20"/>
    <s v="Tech Solutions - DWX Cons Productivity Prod"/>
    <s v="Tech Solutions - DWX Consultant Productivity Product"/>
    <s v="MK_SUB"/>
    <s v="DWX"/>
    <s v="Digital Workplace Experience"/>
    <s v="F18"/>
    <s v="TSG"/>
    <s v="Technology Solutions Group"/>
    <s v="Tech Solutions"/>
    <s v="Technology Solutions Group"/>
  </r>
  <r>
    <x v="1"/>
    <s v="FB"/>
    <x v="325"/>
    <x v="56"/>
    <x v="20"/>
    <s v="Tech Solutions - DWX Core Workplace Prod."/>
    <s v="Tech Solutions - DWX Core Workplace Product"/>
    <s v="MK_SUB"/>
    <s v="DWX"/>
    <s v="Digital Workplace Experience"/>
    <s v="F18"/>
    <s v="TSG"/>
    <s v="Technology Solutions Group"/>
    <s v="Tech Solutions"/>
    <s v="Technology Solutions Group"/>
  </r>
  <r>
    <x v="1"/>
    <s v="FE"/>
    <x v="326"/>
    <x v="56"/>
    <x v="20"/>
    <s v="Tech Solutions - DWX Desktop Eng."/>
    <s v="Tech Solutions - DWX Desktop Engineering"/>
    <s v="MK_SUB"/>
    <s v="DWX"/>
    <s v="Digital Workplace Experience"/>
    <s v="F18"/>
    <s v="TSG"/>
    <s v="Technology Solutions Group"/>
    <s v="Tech Solutions"/>
    <s v="Technology Solutions Group"/>
  </r>
  <r>
    <x v="1"/>
    <s v="GZ"/>
    <x v="327"/>
    <x v="56"/>
    <x v="20"/>
    <s v="Tech Solutions - DWX Dig. Asset Mgmt."/>
    <s v="Tech Solutions - DWX Digital Asset Management"/>
    <s v="MK_SUB"/>
    <s v="DWX"/>
    <s v="Digital Workplace Experience"/>
    <s v="F18"/>
    <s v="TSG"/>
    <s v="Technology Solutions Group"/>
    <s v="Tech Solutions"/>
    <s v="Technology Solutions Group"/>
  </r>
  <r>
    <x v="1"/>
    <s v="FG"/>
    <x v="328"/>
    <x v="56"/>
    <x v="20"/>
    <s v="Tech Solutions - DWX Network Eng."/>
    <s v="Tech Solutions - DWX Network Engineering"/>
    <s v="MK_SUB"/>
    <s v="DWX"/>
    <s v="Digital Workplace Experience"/>
    <s v="F18"/>
    <s v="TSG"/>
    <s v="Technology Solutions Group"/>
    <s v="Tech Solutions"/>
    <s v="Technology Solutions Group"/>
  </r>
  <r>
    <x v="1"/>
    <s v="FH"/>
    <x v="329"/>
    <x v="56"/>
    <x v="20"/>
    <s v="Tech Solutions - DWX Platform Eng."/>
    <s v="Tech Solutions - DWX Platform Engineering"/>
    <s v="MK_SUB"/>
    <s v="DWX"/>
    <s v="Digital Workplace Experience"/>
    <s v="F18"/>
    <s v="TSG"/>
    <s v="Technology Solutions Group"/>
    <s v="Tech Solutions"/>
    <s v="Technology Solutions Group"/>
  </r>
  <r>
    <x v="1"/>
    <s v="FZ"/>
    <x v="330"/>
    <x v="57"/>
    <x v="20"/>
    <s v="Tech Solutions - Enterprise Innov. &amp; Architect."/>
    <s v="Tech Solutions - Enterprise Innovation &amp; Architecture"/>
    <s v="ML_SUB"/>
    <s v="Enterprise Innov. &amp; Architect."/>
    <s v="Enterprise Innovation &amp; Architecture"/>
    <s v="F18"/>
    <s v="TSG"/>
    <s v="Technology Solutions Group"/>
    <s v="Tech Solutions"/>
    <s v="Technology Solutions Group"/>
  </r>
  <r>
    <x v="1"/>
    <s v="FT"/>
    <x v="331"/>
    <x v="58"/>
    <x v="20"/>
    <s v="TechOps Infra."/>
    <s v="Tech Solutions - Global TechOps Infrastructure"/>
    <s v="MN_SUB"/>
    <s v="TechOps &amp; Infrastructure"/>
    <s v="Global TechOps &amp; Infrastructure"/>
    <s v="F18"/>
    <s v="TSG"/>
    <s v="Technology Solutions Group"/>
    <s v="Tech Solutions"/>
    <s v="Technology Solutions Group"/>
  </r>
  <r>
    <x v="1"/>
    <s v="FU"/>
    <x v="332"/>
    <x v="58"/>
    <x v="20"/>
    <s v="TechOps Platform Infra."/>
    <s v="Tech Solutions - Global TechOps Platform Infra"/>
    <s v="MN_SUB"/>
    <s v="TechOps &amp; Infrastructure"/>
    <s v="Global TechOps &amp; Infrastructure"/>
    <s v="F18"/>
    <s v="TSG"/>
    <s v="Technology Solutions Group"/>
    <s v="Tech Solutions"/>
    <s v="Technology Solutions Group"/>
  </r>
  <r>
    <x v="1"/>
    <s v="HA"/>
    <x v="333"/>
    <x v="58"/>
    <x v="20"/>
    <s v="Tech Solutions - Global TechOps ServiceNow"/>
    <s v="Tech Solutions - Global TechOps ServiceNow"/>
    <s v="MN_SUB"/>
    <s v="TechOps &amp; Infrastructure"/>
    <s v="Global TechOps &amp; Infrastructure"/>
    <s v="F18"/>
    <s v="TSG"/>
    <s v="Technology Solutions Group"/>
    <s v="Tech Solutions"/>
    <s v="Technology Solutions Group"/>
  </r>
  <r>
    <x v="1"/>
    <s v="MP"/>
    <x v="334"/>
    <x v="58"/>
    <x v="20"/>
    <s v="TSG Support"/>
    <s v="TSG Support"/>
    <s v="MN_SUB"/>
    <s v="TechOps &amp; Infrastructure"/>
    <s v="Global TechOps &amp; Infrastructure"/>
    <s v="F18"/>
    <s v="TSG"/>
    <s v="Technology Solutions Group"/>
    <s v="Tech Solutions"/>
    <s v="Technology Solutions Group"/>
  </r>
  <r>
    <x v="1"/>
    <s v="MS"/>
    <x v="335"/>
    <x v="59"/>
    <x v="20"/>
    <s v="Tech Solutions - Leadership"/>
    <s v="Tech Solutions - Leadership"/>
    <s v="MQ_SUB"/>
    <s v="Tech Solutions - Leadership"/>
    <s v="Tech Solutions - Leadership"/>
    <s v="F18"/>
    <s v="TSG"/>
    <s v="Technology Solutions Group"/>
    <s v="Tech Solutions"/>
    <s v="Technology Solutions Group"/>
  </r>
  <r>
    <x v="1"/>
    <s v="G5"/>
    <x v="336"/>
    <x v="47"/>
    <x v="20"/>
    <s v="NGSS Architecture &amp; Engineering"/>
    <s v="Tech Solutions - NGSS Architecture &amp; Engineering"/>
    <s v="NG_SUB"/>
    <s v="Next Gen"/>
    <s v="Next Generation Software Solutions"/>
    <s v="F18"/>
    <s v="Technology Solutions"/>
    <s v="Technology Solutions Group"/>
    <s v="Tech Solutions"/>
    <s v="Technology Solutions Group"/>
  </r>
  <r>
    <x v="1"/>
    <s v="G6"/>
    <x v="337"/>
    <x v="47"/>
    <x v="20"/>
    <s v="NGSS Customer Success"/>
    <s v="Tech Solutions - NGSS Customer Success"/>
    <s v="NG_SUB"/>
    <s v="Next Gen"/>
    <s v="Next Generation Software Solutions"/>
    <s v="F18"/>
    <s v="Technology Solutions"/>
    <s v="Technology Solutions Group"/>
    <s v="Tech Solutions"/>
    <s v="Technology Solutions Group"/>
  </r>
  <r>
    <x v="1"/>
    <s v="G4"/>
    <x v="338"/>
    <x v="47"/>
    <x v="20"/>
    <s v="NGSS Product Design"/>
    <s v="Tech Solutions - NGSS Product Design"/>
    <s v="NG_SUB"/>
    <s v="Next Gen"/>
    <s v="Next Generation Software Solutions"/>
    <s v="F18"/>
    <s v="Technology Solutions"/>
    <s v="Technology Solutions Group"/>
    <s v="Tech Solutions"/>
    <s v="Technology Solutions Group"/>
  </r>
  <r>
    <x v="1"/>
    <s v="G2"/>
    <x v="339"/>
    <x v="47"/>
    <x v="20"/>
    <s v="NGSS Product Management"/>
    <s v="Tech Solutions - NGSS Product Management"/>
    <s v="NG_SUB"/>
    <s v="Next Gen"/>
    <s v="Next Generation Software Solutions"/>
    <s v="F18"/>
    <s v="Technology Solutions"/>
    <s v="Technology Solutions Group"/>
    <s v="Tech Solutions"/>
    <s v="Technology Solutions Group"/>
  </r>
  <r>
    <x v="1"/>
    <s v="FV"/>
    <x v="340"/>
    <x v="60"/>
    <x v="20"/>
    <s v="OCIO Agile, Culture &amp; Engagement"/>
    <s v="Tech Solutions - OCIO Agile, Culture &amp; Engagement"/>
    <s v="MP_SUB"/>
    <s v="OCIO"/>
    <s v="Office of the CIO"/>
    <s v="F18"/>
    <s v="TSG"/>
    <s v="Technology Solutions Group"/>
    <s v="Tech Solutions"/>
    <s v="Technology Solutions Group"/>
  </r>
  <r>
    <x v="1"/>
    <s v="FY"/>
    <x v="341"/>
    <x v="60"/>
    <x v="20"/>
    <s v="OCIO Biz Ops"/>
    <s v="Tech Solutions - OCIO Business Operations"/>
    <s v="MP_SUB"/>
    <s v="OCIO"/>
    <s v="Office of the CIO"/>
    <s v="F18"/>
    <s v="TSG"/>
    <s v="Technology Solutions Group"/>
    <s v="Tech Solutions"/>
    <s v="Technology Solutions Group"/>
  </r>
  <r>
    <x v="0"/>
    <s v="G7"/>
    <x v="341"/>
    <x v="60"/>
    <x v="20"/>
    <s v="OCIO Biz Ops"/>
    <s v="Tech Solutions - OCIO Business Operations"/>
    <s v="MP_SUB"/>
    <s v="OCIO"/>
    <s v="Office of the CIO"/>
    <s v="F18"/>
    <s v="TSG"/>
    <s v="Technology Solutions Group"/>
    <s v="Tech Solutions"/>
    <s v="Technology Solutions Group"/>
  </r>
  <r>
    <x v="1"/>
    <s v="OC"/>
    <x v="342"/>
    <x v="60"/>
    <x v="20"/>
    <s v="Portfolio &amp; Program Mgmt"/>
    <s v="Tech Solutions - OCIO Portfolio &amp; Program Management"/>
    <s v="MP_SUB"/>
    <s v="OCIO"/>
    <s v="Office of the CIO"/>
    <s v="F18"/>
    <s v="TSG"/>
    <s v="Technology Solutions Group"/>
    <s v="Tech Solutions"/>
    <s v="Technology Solutions Group"/>
  </r>
  <r>
    <x v="0"/>
    <s v="TE"/>
    <x v="342"/>
    <x v="60"/>
    <x v="20"/>
    <s v="Portfolio &amp; Program Mgmt"/>
    <s v="Tech Solutions - OCIO Portfolio &amp; Program Management"/>
    <s v="MP_SUB"/>
    <s v="OCIO"/>
    <s v="Office of the CIO"/>
    <s v="F18"/>
    <s v="TSG"/>
    <s v="Technology Solutions Group"/>
    <s v="Tech Solutions"/>
    <s v="Technology Solutions Group"/>
  </r>
  <r>
    <x v="1"/>
    <s v="N3"/>
    <x v="343"/>
    <x v="5"/>
    <x v="4"/>
    <s v="Technology &amp; Cloud Services Expert Cons."/>
    <s v="Technology &amp; Cloud Services Expert Consulting"/>
    <s v="EC_SUB"/>
    <s v="Expert Cons."/>
    <s v="Expert Consulting"/>
    <s v="F2"/>
    <s v="Consulting"/>
    <s v="Consulting"/>
    <s v="Expert/Spec. Cons."/>
    <s v="Expert/Specialist Consulting"/>
  </r>
  <r>
    <x v="1"/>
    <s v="YZ"/>
    <x v="344"/>
    <x v="18"/>
    <x v="0"/>
    <s v="Technology Delivery"/>
    <s v="Technology Delivery"/>
    <s v="ET_SUB"/>
    <s v="Enterprise Tech"/>
    <s v="Enterprise Tech"/>
    <s v="VEC"/>
    <s v="Vector"/>
    <s v="Vector"/>
    <s v="Vector"/>
    <s v="Vector"/>
  </r>
  <r>
    <x v="0"/>
    <s v="TP"/>
    <x v="345"/>
    <x v="61"/>
    <x v="20"/>
    <s v="Tech Innovation Pipeline"/>
    <s v="Technology Innovation Pipeline"/>
    <s v="MI_SUB"/>
    <s v="TSG"/>
    <s v="TSG"/>
    <s v="F18"/>
    <s v="TSG"/>
    <s v="Technology Solutions Group"/>
    <s v="Tech Solutions"/>
    <s v="Technology Solutions Group"/>
  </r>
  <r>
    <x v="1"/>
    <s v="TD"/>
    <x v="346"/>
    <x v="62"/>
    <x v="11"/>
    <s v="TIG"/>
    <s v="Technology Insights Group"/>
    <s v="TI_SUB"/>
    <s v="Technology Insights Group"/>
    <s v="Technology Insights Group"/>
    <s v="VF"/>
    <s v="PE Service Line"/>
    <s v="Private Equity Service Line"/>
    <s v="PE Service Line"/>
    <s v="Private Equity Service Line"/>
  </r>
  <r>
    <x v="1"/>
    <s v="OH"/>
    <x v="347"/>
    <x v="62"/>
    <x v="11"/>
    <s v="TIG Ops"/>
    <s v="Technology Insights Group Operations"/>
    <s v="TI_SUB"/>
    <s v="Technology Insights Group"/>
    <s v="Technology Insights Group"/>
    <s v="VF"/>
    <s v="PE Service Line"/>
    <s v="Private Equity Service Line"/>
    <s v="PE Service Line"/>
    <s v="Private Equity Service Line"/>
  </r>
  <r>
    <x v="1"/>
    <s v="D1"/>
    <x v="348"/>
    <x v="6"/>
    <x v="5"/>
    <s v="TMT Practice"/>
    <s v="Telecommunications-Media-Technology Practice"/>
    <s v="SP_SUB"/>
    <s v="Practice Teams"/>
    <s v="Practice Teams"/>
    <s v="F15"/>
    <s v="PPK"/>
    <s v="Product, Practice &amp; Knowledge"/>
    <s v="PPK"/>
    <s v="Product, Practice &amp; Knowledge"/>
  </r>
  <r>
    <x v="0"/>
    <s v="E5"/>
    <x v="348"/>
    <x v="6"/>
    <x v="5"/>
    <s v="TMT Practice"/>
    <s v="Telecommunications-Media-Technology Practice"/>
    <s v="SP_SUB"/>
    <s v="Practice Teams"/>
    <s v="Practice Teams"/>
    <s v="F15"/>
    <s v="PPK"/>
    <s v="Product, Practice &amp; Knowledge"/>
    <s v="PPK"/>
    <s v="Product, Practice &amp; Knowledge"/>
  </r>
  <r>
    <x v="0"/>
    <s v="E6"/>
    <x v="348"/>
    <x v="6"/>
    <x v="5"/>
    <s v="TMT Practice"/>
    <s v="Telecommunications-Media-Technology Practice"/>
    <s v="SP_SUB"/>
    <s v="Practice Teams"/>
    <s v="Practice Teams"/>
    <s v="F15"/>
    <s v="PPK"/>
    <s v="Product, Practice &amp; Knowledge"/>
    <s v="PPK"/>
    <s v="Product, Practice &amp; Knowledge"/>
  </r>
  <r>
    <x v="1"/>
    <s v="N4"/>
    <x v="349"/>
    <x v="5"/>
    <x v="4"/>
    <s v="Transformation &amp; Change Expert Cons."/>
    <s v="Transformation &amp; Change Expert Consulting"/>
    <s v="EC_SUB"/>
    <s v="Expert Cons."/>
    <s v="Expert Consulting"/>
    <s v="F2"/>
    <s v="Consulting"/>
    <s v="Consulting"/>
    <s v="Expert/Spec. Cons."/>
    <s v="Expert/Specialist Consulting"/>
  </r>
  <r>
    <x v="1"/>
    <s v="WV"/>
    <x v="350"/>
    <x v="43"/>
    <x v="5"/>
    <s v="Trans. Office"/>
    <s v="Transformation Office"/>
    <s v="PP_SUB"/>
    <s v="PPK Program Office"/>
    <s v="PPK Program Office"/>
    <s v="F15"/>
    <s v="PPK"/>
    <s v="Product, Practice &amp; Knowledge"/>
    <s v="PPK"/>
    <s v="Product, Practice &amp; Knowledge"/>
  </r>
  <r>
    <x v="0"/>
    <s v="BU"/>
    <x v="351"/>
    <x v="54"/>
    <x v="20"/>
    <s v="TSG BPE"/>
    <s v="TSG Business Process Enablement"/>
    <s v="MJ_SUB"/>
    <s v="BSS"/>
    <s v="Business Software Solutions"/>
    <s v="F18"/>
    <s v="TSG"/>
    <s v="Technology Solutions Group"/>
    <s v="Tech Solutions"/>
    <s v="Technology Solutions Group"/>
  </r>
  <r>
    <x v="0"/>
    <s v="MQ"/>
    <x v="352"/>
    <x v="56"/>
    <x v="20"/>
    <s v="TSG Digital Workplace Exp."/>
    <s v="TSG Digital Workplace Experience"/>
    <s v="MK_SUB"/>
    <s v="DWX"/>
    <s v="Digital Workplace Experience"/>
    <s v="F18"/>
    <s v="TSG"/>
    <s v="Technology Solutions Group"/>
    <s v="Tech Solutions"/>
    <s v="Technology Solutions Group"/>
  </r>
  <r>
    <x v="0"/>
    <s v="TC"/>
    <x v="353"/>
    <x v="55"/>
    <x v="20"/>
    <s v="TSG IS"/>
    <s v="TSG Information Security"/>
    <s v="MO_SUB"/>
    <s v="IS"/>
    <s v="Information Security"/>
    <s v="F18"/>
    <s v="TSG"/>
    <s v="Technology Solutions Group"/>
    <s v="Tech Solutions"/>
    <s v="Technology Solutions Group"/>
  </r>
  <r>
    <x v="0"/>
    <s v="MF"/>
    <x v="354"/>
    <x v="58"/>
    <x v="20"/>
    <s v="TSG Infrastructure"/>
    <s v="TSG Infrastructure"/>
    <s v="MN_SUB"/>
    <s v="TechOps &amp; Infrastructure"/>
    <s v="Global TechOps &amp; Infrastructure"/>
    <s v="F18"/>
    <s v="TSG"/>
    <s v="Technology Solutions Group"/>
    <s v="Tech Solutions"/>
    <s v="Technology Solutions Group"/>
  </r>
  <r>
    <x v="0"/>
    <s v="XX_UNK"/>
    <x v="355"/>
    <x v="10"/>
    <x v="23"/>
    <s v="Unknown"/>
    <s v="Unknown"/>
    <s v=""/>
    <s v=""/>
    <s v=""/>
    <s v="FUN_UNK"/>
    <s v="Misc."/>
    <s v="Unknown"/>
    <s v="Misc."/>
    <s v="Miscellaneous"/>
  </r>
  <r>
    <x v="1"/>
    <s v="VC"/>
    <x v="356"/>
    <x v="10"/>
    <x v="12"/>
    <s v="Vector Corp. Dev."/>
    <s v="Vector Corporate Development"/>
    <s v=""/>
    <s v=""/>
    <s v=""/>
    <s v="WU"/>
    <s v="Capability Delivery"/>
    <s v="Capability Delivery Solutions"/>
    <s v="Capability Delivery"/>
    <s v="Capability Delivery Solutions"/>
  </r>
  <r>
    <x v="1"/>
    <s v="P8"/>
    <x v="357"/>
    <x v="6"/>
    <x v="5"/>
    <s v="Vector Digital Practice"/>
    <s v="Vector Digital Practice"/>
    <s v="SP_SUB"/>
    <s v="Practice Teams"/>
    <s v="Practice Teams"/>
    <s v="F15"/>
    <s v="PPK"/>
    <s v="Product, Practice &amp; Knowledge"/>
    <s v="PPK"/>
    <s v="Product, Practice &amp; Knowledge"/>
  </r>
  <r>
    <x v="1"/>
    <s v="C7"/>
    <x v="358"/>
    <x v="10"/>
    <x v="0"/>
    <s v="Vector Operations"/>
    <s v="Vector Operations"/>
    <s v=""/>
    <s v=""/>
    <s v=""/>
    <s v="VEC"/>
    <s v="Vector"/>
    <s v="Vector"/>
    <s v="Vector"/>
    <s v="Vector"/>
  </r>
  <r>
    <x v="0"/>
    <s v="VP"/>
    <x v="358"/>
    <x v="10"/>
    <x v="0"/>
    <s v="Vector Program Management"/>
    <s v="Vector Program Management"/>
    <s v=""/>
    <s v=""/>
    <s v=""/>
    <s v="VEC"/>
    <s v="Vector"/>
    <s v="Vector"/>
    <s v="Vector"/>
    <s v="Vector"/>
  </r>
  <r>
    <x v="0"/>
    <s v="VD"/>
    <x v="359"/>
    <x v="10"/>
    <x v="16"/>
    <s v="Venture Development"/>
    <s v="Venture Development"/>
    <s v=""/>
    <s v=""/>
    <s v=""/>
    <s v="F16"/>
    <s v="E2"/>
    <s v="Engine 2"/>
    <s v="E2"/>
    <s v="Engine 2"/>
  </r>
  <r>
    <x v="1"/>
    <s v="HJ"/>
    <x v="360"/>
    <x v="10"/>
    <x v="12"/>
    <s v="Venture Ecosystem"/>
    <s v="Venture Ecosystem"/>
    <m/>
    <m/>
    <m/>
    <s v="WU"/>
    <s v="Capability Delivery"/>
    <s v="Capability Delivery Solutions"/>
    <s v="Capability Delivery"/>
    <s v="Capability Delivery Solutions"/>
  </r>
  <r>
    <x v="1"/>
    <s v="AZ"/>
    <x v="361"/>
    <x v="22"/>
    <x v="2"/>
    <s v="Video"/>
    <s v="Video"/>
    <s v="BA_SUB"/>
    <s v="Brand Studio"/>
    <s v="Brand Studio"/>
    <s v="F10"/>
    <s v="Marketing"/>
    <s v="Marketing"/>
    <s v="Marketing"/>
    <s v="Market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C2C81-14A7-464D-A2C7-E7FC065D8E96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71" firstHeaderRow="1" firstDataRow="2" firstDataCol="1"/>
  <pivotFields count="15"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axis="axisRow" showAll="0">
      <items count="64">
        <item x="0"/>
        <item x="20"/>
        <item x="11"/>
        <item x="16"/>
        <item x="22"/>
        <item x="54"/>
        <item x="37"/>
        <item x="8"/>
        <item x="28"/>
        <item x="30"/>
        <item x="31"/>
        <item x="56"/>
        <item x="32"/>
        <item x="33"/>
        <item x="21"/>
        <item x="57"/>
        <item x="18"/>
        <item x="5"/>
        <item x="35"/>
        <item x="26"/>
        <item x="36"/>
        <item x="17"/>
        <item x="7"/>
        <item x="27"/>
        <item x="39"/>
        <item x="19"/>
        <item x="3"/>
        <item x="23"/>
        <item x="38"/>
        <item x="41"/>
        <item x="44"/>
        <item x="58"/>
        <item x="24"/>
        <item x="12"/>
        <item x="55"/>
        <item x="4"/>
        <item x="25"/>
        <item x="13"/>
        <item x="47"/>
        <item x="48"/>
        <item x="60"/>
        <item x="49"/>
        <item x="46"/>
        <item x="14"/>
        <item x="45"/>
        <item x="43"/>
        <item x="2"/>
        <item x="6"/>
        <item x="29"/>
        <item x="50"/>
        <item x="51"/>
        <item x="9"/>
        <item x="52"/>
        <item x="53"/>
        <item x="34"/>
        <item x="15"/>
        <item x="1"/>
        <item x="40"/>
        <item x="42"/>
        <item x="59"/>
        <item x="62"/>
        <item x="61"/>
        <item x="10"/>
        <item t="default"/>
      </items>
    </pivotField>
    <pivotField axis="axisRow" showAll="0">
      <items count="25">
        <item x="14"/>
        <item x="21"/>
        <item x="12"/>
        <item x="15"/>
        <item x="16"/>
        <item x="17"/>
        <item x="4"/>
        <item x="3"/>
        <item x="18"/>
        <item x="6"/>
        <item x="19"/>
        <item x="13"/>
        <item x="8"/>
        <item x="2"/>
        <item x="7"/>
        <item x="11"/>
        <item x="5"/>
        <item x="9"/>
        <item x="22"/>
        <item x="1"/>
        <item x="10"/>
        <item x="20"/>
        <item x="2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3"/>
    <field x="2"/>
  </rowFields>
  <rowItems count="467">
    <i>
      <x/>
    </i>
    <i r="1">
      <x v="62"/>
    </i>
    <i r="2">
      <x v="50"/>
    </i>
    <i r="2">
      <x v="51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>
      <x v="1"/>
    </i>
    <i r="1">
      <x v="39"/>
    </i>
    <i r="2">
      <x v="247"/>
    </i>
    <i>
      <x v="2"/>
    </i>
    <i r="1">
      <x v="18"/>
    </i>
    <i r="2">
      <x v="156"/>
    </i>
    <i r="1">
      <x v="42"/>
    </i>
    <i r="2">
      <x v="227"/>
    </i>
    <i r="2">
      <x v="262"/>
    </i>
    <i r="1">
      <x v="62"/>
    </i>
    <i r="2">
      <x v="46"/>
    </i>
    <i r="2">
      <x v="48"/>
    </i>
    <i r="2">
      <x v="104"/>
    </i>
    <i r="2">
      <x v="116"/>
    </i>
    <i r="2">
      <x v="162"/>
    </i>
    <i r="2">
      <x v="165"/>
    </i>
    <i r="2">
      <x v="235"/>
    </i>
    <i r="2">
      <x v="243"/>
    </i>
    <i r="2">
      <x v="248"/>
    </i>
    <i r="2">
      <x v="356"/>
    </i>
    <i r="2">
      <x v="360"/>
    </i>
    <i>
      <x v="3"/>
    </i>
    <i r="1">
      <x v="9"/>
    </i>
    <i r="2">
      <x v="125"/>
    </i>
    <i r="2">
      <x v="126"/>
    </i>
    <i r="1">
      <x v="62"/>
    </i>
    <i r="2">
      <x v="286"/>
    </i>
    <i>
      <x v="4"/>
    </i>
    <i r="1">
      <x v="62"/>
    </i>
    <i r="2">
      <x v="148"/>
    </i>
    <i r="2">
      <x v="295"/>
    </i>
    <i r="2">
      <x v="359"/>
    </i>
    <i>
      <x v="5"/>
    </i>
    <i r="1">
      <x v="62"/>
    </i>
    <i r="2">
      <x v="152"/>
    </i>
    <i r="2">
      <x v="287"/>
    </i>
    <i>
      <x v="6"/>
    </i>
    <i r="1">
      <x v="17"/>
    </i>
    <i r="2">
      <x v="5"/>
    </i>
    <i r="2">
      <x v="6"/>
    </i>
    <i r="2">
      <x v="18"/>
    </i>
    <i r="2">
      <x v="108"/>
    </i>
    <i r="2">
      <x v="113"/>
    </i>
    <i r="2">
      <x v="121"/>
    </i>
    <i r="2">
      <x v="146"/>
    </i>
    <i r="2">
      <x v="150"/>
    </i>
    <i r="2">
      <x v="154"/>
    </i>
    <i r="2">
      <x v="159"/>
    </i>
    <i r="2">
      <x v="218"/>
    </i>
    <i r="2">
      <x v="241"/>
    </i>
    <i r="2">
      <x v="254"/>
    </i>
    <i r="2">
      <x v="264"/>
    </i>
    <i r="2">
      <x v="275"/>
    </i>
    <i r="2">
      <x v="291"/>
    </i>
    <i r="2">
      <x v="293"/>
    </i>
    <i r="2">
      <x v="298"/>
    </i>
    <i r="2">
      <x v="299"/>
    </i>
    <i r="2">
      <x v="301"/>
    </i>
    <i r="2">
      <x v="343"/>
    </i>
    <i r="2">
      <x v="349"/>
    </i>
    <i r="1">
      <x v="53"/>
    </i>
    <i r="2">
      <x v="296"/>
    </i>
    <i>
      <x v="7"/>
    </i>
    <i r="1">
      <x v="2"/>
    </i>
    <i r="2">
      <x v="26"/>
    </i>
    <i r="2">
      <x v="27"/>
    </i>
    <i r="2">
      <x v="29"/>
    </i>
    <i r="2">
      <x v="33"/>
    </i>
    <i r="1">
      <x v="3"/>
    </i>
    <i r="2">
      <x v="37"/>
    </i>
    <i r="2">
      <x v="41"/>
    </i>
    <i r="1">
      <x v="13"/>
    </i>
    <i r="2">
      <x v="134"/>
    </i>
    <i r="2">
      <x v="139"/>
    </i>
    <i r="1">
      <x v="21"/>
    </i>
    <i r="2">
      <x v="38"/>
    </i>
    <i r="2">
      <x v="135"/>
    </i>
    <i r="1">
      <x v="26"/>
    </i>
    <i r="2">
      <x v="3"/>
    </i>
    <i r="2">
      <x v="25"/>
    </i>
    <i r="2">
      <x v="31"/>
    </i>
    <i r="2">
      <x v="35"/>
    </i>
    <i r="2">
      <x v="132"/>
    </i>
    <i r="2">
      <x v="176"/>
    </i>
    <i r="2">
      <x v="182"/>
    </i>
    <i r="2">
      <x v="183"/>
    </i>
    <i r="2">
      <x v="184"/>
    </i>
    <i r="2">
      <x v="195"/>
    </i>
    <i r="2">
      <x v="200"/>
    </i>
    <i r="2">
      <x v="206"/>
    </i>
    <i r="2">
      <x v="211"/>
    </i>
    <i r="2">
      <x v="214"/>
    </i>
    <i r="2">
      <x v="225"/>
    </i>
    <i r="2">
      <x v="234"/>
    </i>
    <i r="1">
      <x v="62"/>
    </i>
    <i r="2">
      <x v="158"/>
    </i>
    <i r="2">
      <x v="230"/>
    </i>
    <i>
      <x v="8"/>
    </i>
    <i r="1">
      <x v="20"/>
    </i>
    <i r="2">
      <x v="163"/>
    </i>
    <i r="2">
      <x v="164"/>
    </i>
    <i>
      <x v="9"/>
    </i>
    <i r="1">
      <x v="8"/>
    </i>
    <i r="2">
      <x v="120"/>
    </i>
    <i r="2">
      <x v="149"/>
    </i>
    <i r="2">
      <x v="263"/>
    </i>
    <i r="1">
      <x v="22"/>
    </i>
    <i r="2">
      <x v="9"/>
    </i>
    <i r="2">
      <x v="10"/>
    </i>
    <i r="2">
      <x v="110"/>
    </i>
    <i r="2">
      <x v="257"/>
    </i>
    <i>
      <x v="10"/>
    </i>
    <i r="1">
      <x v="30"/>
    </i>
    <i r="2">
      <x v="203"/>
    </i>
    <i r="2">
      <x v="204"/>
    </i>
    <i r="1">
      <x v="41"/>
    </i>
    <i r="2">
      <x v="249"/>
    </i>
    <i r="2">
      <x v="250"/>
    </i>
    <i r="1">
      <x v="62"/>
    </i>
    <i r="2">
      <x v="244"/>
    </i>
    <i>
      <x v="11"/>
    </i>
    <i r="1">
      <x v="1"/>
    </i>
    <i r="2">
      <x v="49"/>
    </i>
    <i r="2">
      <x v="53"/>
    </i>
    <i r="1">
      <x v="29"/>
    </i>
    <i r="2">
      <x v="191"/>
    </i>
    <i r="2">
      <x v="193"/>
    </i>
    <i r="2">
      <x v="194"/>
    </i>
    <i r="2">
      <x v="256"/>
    </i>
    <i>
      <x v="12"/>
    </i>
    <i r="1">
      <x v="24"/>
    </i>
    <i r="2">
      <x v="174"/>
    </i>
    <i r="1">
      <x v="27"/>
    </i>
    <i r="2">
      <x v="106"/>
    </i>
    <i r="2">
      <x v="145"/>
    </i>
    <i r="1">
      <x v="51"/>
    </i>
    <i r="2">
      <x v="23"/>
    </i>
    <i r="2">
      <x v="40"/>
    </i>
    <i r="2">
      <x v="138"/>
    </i>
    <i r="1">
      <x v="62"/>
    </i>
    <i r="2">
      <x v="229"/>
    </i>
    <i>
      <x v="13"/>
    </i>
    <i r="1">
      <x v="4"/>
    </i>
    <i r="2">
      <x v="100"/>
    </i>
    <i r="2">
      <x v="101"/>
    </i>
    <i r="2">
      <x v="102"/>
    </i>
    <i r="2">
      <x v="103"/>
    </i>
    <i r="2">
      <x v="144"/>
    </i>
    <i r="2">
      <x v="224"/>
    </i>
    <i r="2">
      <x v="361"/>
    </i>
    <i r="1">
      <x v="7"/>
    </i>
    <i r="2">
      <x v="118"/>
    </i>
    <i r="1">
      <x v="10"/>
    </i>
    <i r="2">
      <x v="127"/>
    </i>
    <i r="2">
      <x v="128"/>
    </i>
    <i r="2">
      <x v="129"/>
    </i>
    <i r="2">
      <x v="130"/>
    </i>
    <i r="2">
      <x v="238"/>
    </i>
    <i r="1">
      <x v="12"/>
    </i>
    <i r="2">
      <x v="131"/>
    </i>
    <i r="2">
      <x v="270"/>
    </i>
    <i r="2">
      <x v="282"/>
    </i>
    <i r="1">
      <x v="19"/>
    </i>
    <i r="2">
      <x v="117"/>
    </i>
    <i r="2">
      <x v="239"/>
    </i>
    <i r="2">
      <x v="280"/>
    </i>
    <i r="1">
      <x v="37"/>
    </i>
    <i r="2">
      <x v="30"/>
    </i>
    <i r="2">
      <x v="42"/>
    </i>
    <i r="2">
      <x v="140"/>
    </i>
    <i r="1">
      <x v="46"/>
    </i>
    <i r="2">
      <x v="2"/>
    </i>
    <i r="2">
      <x v="271"/>
    </i>
    <i r="1">
      <x v="52"/>
    </i>
    <i r="2">
      <x v="288"/>
    </i>
    <i r="1">
      <x v="62"/>
    </i>
    <i r="2">
      <x v="187"/>
    </i>
    <i r="2">
      <x v="236"/>
    </i>
    <i r="2">
      <x v="237"/>
    </i>
    <i r="2">
      <x v="240"/>
    </i>
    <i r="2">
      <x v="272"/>
    </i>
    <i>
      <x v="14"/>
    </i>
    <i r="1">
      <x v="7"/>
    </i>
    <i r="2">
      <x v="22"/>
    </i>
    <i r="2">
      <x v="36"/>
    </i>
    <i r="2">
      <x v="133"/>
    </i>
    <i r="2">
      <x v="252"/>
    </i>
    <i r="1">
      <x v="28"/>
    </i>
    <i r="2">
      <x v="171"/>
    </i>
    <i r="2">
      <x v="181"/>
    </i>
    <i r="2">
      <x v="188"/>
    </i>
    <i r="2">
      <x v="192"/>
    </i>
    <i r="2">
      <x v="201"/>
    </i>
    <i r="2">
      <x v="213"/>
    </i>
    <i r="1">
      <x v="36"/>
    </i>
    <i r="2">
      <x v="111"/>
    </i>
    <i r="2">
      <x v="157"/>
    </i>
    <i r="2">
      <x v="284"/>
    </i>
    <i>
      <x v="15"/>
    </i>
    <i r="1">
      <x v="43"/>
    </i>
    <i r="2">
      <x v="32"/>
    </i>
    <i r="2">
      <x v="43"/>
    </i>
    <i r="2">
      <x v="141"/>
    </i>
    <i r="2">
      <x v="197"/>
    </i>
    <i r="1">
      <x v="44"/>
    </i>
    <i r="2">
      <x v="219"/>
    </i>
    <i r="2">
      <x v="253"/>
    </i>
    <i r="2">
      <x v="258"/>
    </i>
    <i r="2">
      <x v="259"/>
    </i>
    <i r="2">
      <x v="260"/>
    </i>
    <i r="2">
      <x v="261"/>
    </i>
    <i r="2">
      <x v="273"/>
    </i>
    <i r="1">
      <x v="48"/>
    </i>
    <i r="2">
      <x v="123"/>
    </i>
    <i r="2">
      <x v="124"/>
    </i>
    <i r="2">
      <x v="274"/>
    </i>
    <i r="2">
      <x v="281"/>
    </i>
    <i r="1">
      <x v="49"/>
    </i>
    <i r="2">
      <x v="277"/>
    </i>
    <i r="2">
      <x v="297"/>
    </i>
    <i r="1">
      <x v="60"/>
    </i>
    <i r="2">
      <x v="346"/>
    </i>
    <i r="2">
      <x v="347"/>
    </i>
    <i r="1">
      <x v="62"/>
    </i>
    <i r="2">
      <x v="161"/>
    </i>
    <i>
      <x v="16"/>
    </i>
    <i r="1">
      <x v="23"/>
    </i>
    <i r="2">
      <x v="119"/>
    </i>
    <i r="2">
      <x v="172"/>
    </i>
    <i r="2">
      <x v="289"/>
    </i>
    <i r="1">
      <x v="45"/>
    </i>
    <i r="2">
      <x v="199"/>
    </i>
    <i r="2">
      <x v="226"/>
    </i>
    <i r="2">
      <x v="268"/>
    </i>
    <i r="2">
      <x v="350"/>
    </i>
    <i r="1">
      <x v="47"/>
    </i>
    <i r="2">
      <x v="7"/>
    </i>
    <i r="2">
      <x v="8"/>
    </i>
    <i r="2">
      <x v="11"/>
    </i>
    <i r="2">
      <x v="112"/>
    </i>
    <i r="2">
      <x v="114"/>
    </i>
    <i r="2">
      <x v="115"/>
    </i>
    <i r="2">
      <x v="122"/>
    </i>
    <i r="2">
      <x v="147"/>
    </i>
    <i r="2">
      <x v="151"/>
    </i>
    <i r="2">
      <x v="160"/>
    </i>
    <i r="2">
      <x v="168"/>
    </i>
    <i r="2">
      <x v="217"/>
    </i>
    <i r="2">
      <x v="242"/>
    </i>
    <i r="2">
      <x v="251"/>
    </i>
    <i r="2">
      <x v="255"/>
    </i>
    <i r="2">
      <x v="265"/>
    </i>
    <i r="2">
      <x v="267"/>
    </i>
    <i r="2">
      <x v="276"/>
    </i>
    <i r="2">
      <x v="279"/>
    </i>
    <i r="2">
      <x v="292"/>
    </i>
    <i r="2">
      <x v="294"/>
    </i>
    <i r="2">
      <x v="300"/>
    </i>
    <i r="2">
      <x v="302"/>
    </i>
    <i r="2">
      <x v="348"/>
    </i>
    <i r="2">
      <x v="357"/>
    </i>
    <i r="1">
      <x v="62"/>
    </i>
    <i r="2">
      <x v="266"/>
    </i>
    <i r="2">
      <x v="269"/>
    </i>
    <i>
      <x v="17"/>
    </i>
    <i r="1">
      <x v="62"/>
    </i>
    <i r="2">
      <x v="24"/>
    </i>
    <i r="2">
      <x v="44"/>
    </i>
    <i r="2">
      <x v="142"/>
    </i>
    <i r="2">
      <x v="202"/>
    </i>
    <i r="2">
      <x v="290"/>
    </i>
    <i>
      <x v="18"/>
    </i>
    <i r="1">
      <x v="50"/>
    </i>
    <i r="2">
      <x v="283"/>
    </i>
    <i>
      <x v="19"/>
    </i>
    <i r="1">
      <x v="55"/>
    </i>
    <i r="2">
      <x v="34"/>
    </i>
    <i r="2">
      <x v="207"/>
    </i>
    <i r="2">
      <x v="285"/>
    </i>
    <i r="2">
      <x v="303"/>
    </i>
    <i r="2">
      <x v="304"/>
    </i>
    <i r="2">
      <x v="305"/>
    </i>
    <i r="2">
      <x v="306"/>
    </i>
    <i r="2">
      <x v="307"/>
    </i>
    <i r="2">
      <x v="308"/>
    </i>
    <i r="1">
      <x v="56"/>
    </i>
    <i r="2">
      <x v="1"/>
    </i>
    <i r="2">
      <x v="91"/>
    </i>
    <i r="2">
      <x v="109"/>
    </i>
    <i r="2">
      <x v="153"/>
    </i>
    <i r="2">
      <x v="167"/>
    </i>
    <i r="2">
      <x v="228"/>
    </i>
    <i r="2">
      <x v="232"/>
    </i>
    <i r="1">
      <x v="62"/>
    </i>
    <i r="2">
      <x v="208"/>
    </i>
    <i>
      <x v="20"/>
    </i>
    <i r="1">
      <x v="6"/>
    </i>
    <i r="2">
      <x v="169"/>
    </i>
    <i r="2">
      <x v="173"/>
    </i>
    <i r="2">
      <x v="189"/>
    </i>
    <i r="1">
      <x v="14"/>
    </i>
    <i r="2">
      <x v="52"/>
    </i>
    <i r="2">
      <x v="170"/>
    </i>
    <i r="2">
      <x v="178"/>
    </i>
    <i r="1">
      <x v="25"/>
    </i>
    <i r="2">
      <x v="47"/>
    </i>
    <i r="2">
      <x v="179"/>
    </i>
    <i r="1">
      <x v="32"/>
    </i>
    <i r="2">
      <x v="107"/>
    </i>
    <i r="1">
      <x v="33"/>
    </i>
    <i r="2">
      <x v="28"/>
    </i>
    <i r="2">
      <x v="39"/>
    </i>
    <i r="2">
      <x v="77"/>
    </i>
    <i r="2">
      <x v="105"/>
    </i>
    <i r="2">
      <x v="136"/>
    </i>
    <i r="2">
      <x v="166"/>
    </i>
    <i r="2">
      <x v="177"/>
    </i>
    <i r="2">
      <x v="185"/>
    </i>
    <i r="2">
      <x v="186"/>
    </i>
    <i r="2">
      <x v="190"/>
    </i>
    <i r="2">
      <x v="209"/>
    </i>
    <i r="2">
      <x v="216"/>
    </i>
    <i r="2">
      <x v="220"/>
    </i>
    <i r="2">
      <x v="221"/>
    </i>
    <i r="2">
      <x v="231"/>
    </i>
    <i r="1">
      <x v="54"/>
    </i>
    <i r="2">
      <x v="155"/>
    </i>
    <i r="2">
      <x v="233"/>
    </i>
    <i r="1">
      <x v="57"/>
    </i>
    <i r="2">
      <x v="175"/>
    </i>
    <i r="2">
      <x v="196"/>
    </i>
    <i r="2">
      <x v="309"/>
    </i>
    <i r="1">
      <x v="58"/>
    </i>
    <i r="2">
      <x v="198"/>
    </i>
    <i r="2">
      <x v="210"/>
    </i>
    <i r="2">
      <x v="215"/>
    </i>
    <i r="1">
      <x v="62"/>
    </i>
    <i r="2">
      <x v="137"/>
    </i>
    <i r="2">
      <x v="143"/>
    </i>
    <i r="2">
      <x v="205"/>
    </i>
    <i r="2">
      <x v="212"/>
    </i>
    <i>
      <x v="21"/>
    </i>
    <i r="1">
      <x v="5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51"/>
    </i>
    <i r="1">
      <x v="11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52"/>
    </i>
    <i r="1">
      <x v="15"/>
    </i>
    <i r="2">
      <x v="330"/>
    </i>
    <i r="1">
      <x v="31"/>
    </i>
    <i r="2">
      <x v="331"/>
    </i>
    <i r="2">
      <x v="332"/>
    </i>
    <i r="2">
      <x v="333"/>
    </i>
    <i r="2">
      <x v="334"/>
    </i>
    <i r="2">
      <x v="354"/>
    </i>
    <i r="1">
      <x v="34"/>
    </i>
    <i r="2">
      <x v="318"/>
    </i>
    <i r="2">
      <x v="319"/>
    </i>
    <i r="2">
      <x v="320"/>
    </i>
    <i r="2">
      <x v="321"/>
    </i>
    <i r="2">
      <x v="322"/>
    </i>
    <i r="2">
      <x v="353"/>
    </i>
    <i r="1">
      <x v="38"/>
    </i>
    <i r="2">
      <x v="245"/>
    </i>
    <i r="2">
      <x v="246"/>
    </i>
    <i r="2">
      <x v="336"/>
    </i>
    <i r="2">
      <x v="337"/>
    </i>
    <i r="2">
      <x v="338"/>
    </i>
    <i r="2">
      <x v="339"/>
    </i>
    <i r="1">
      <x v="40"/>
    </i>
    <i r="2">
      <x v="340"/>
    </i>
    <i r="2">
      <x v="341"/>
    </i>
    <i r="2">
      <x v="342"/>
    </i>
    <i r="1">
      <x v="59"/>
    </i>
    <i r="2">
      <x v="335"/>
    </i>
    <i r="1">
      <x v="61"/>
    </i>
    <i r="2">
      <x v="345"/>
    </i>
    <i>
      <x v="22"/>
    </i>
    <i r="1">
      <x v="62"/>
    </i>
    <i r="2">
      <x v="355"/>
    </i>
    <i>
      <x v="23"/>
    </i>
    <i r="1">
      <x/>
    </i>
    <i r="2">
      <x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0"/>
    </i>
    <i r="2">
      <x v="21"/>
    </i>
    <i r="1">
      <x v="16"/>
    </i>
    <i r="2">
      <x v="45"/>
    </i>
    <i r="2">
      <x v="278"/>
    </i>
    <i r="2">
      <x v="344"/>
    </i>
    <i r="1">
      <x v="35"/>
    </i>
    <i r="2">
      <x v="4"/>
    </i>
    <i r="2">
      <x v="21"/>
    </i>
    <i r="2">
      <x v="180"/>
    </i>
    <i r="2">
      <x v="222"/>
    </i>
    <i r="2">
      <x v="223"/>
    </i>
    <i r="1">
      <x v="62"/>
    </i>
    <i r="2">
      <x v="35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tatus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1 - Bain A4">
  <a:themeElements>
    <a:clrScheme name="Custom 1">
      <a:dk1>
        <a:sysClr val="windowText" lastClr="000000"/>
      </a:dk1>
      <a:lt1>
        <a:srgbClr val="D6D6D6"/>
      </a:lt1>
      <a:dk2>
        <a:srgbClr val="858585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28CF-BA06-4615-8411-3AAECD9820DD}">
  <dimension ref="A3:G471"/>
  <sheetViews>
    <sheetView workbookViewId="0">
      <pane xSplit="1" ySplit="4" topLeftCell="B328" activePane="bottomRight" state="frozen"/>
      <selection pane="topRight" activeCell="B1" sqref="B1"/>
      <selection pane="bottomLeft" activeCell="A5" sqref="A5"/>
      <selection pane="bottomRight" activeCell="G398" sqref="G398"/>
    </sheetView>
  </sheetViews>
  <sheetFormatPr defaultRowHeight="12.75" x14ac:dyDescent="0.2"/>
  <cols>
    <col min="1" max="1" width="75.42578125" bestFit="1" customWidth="1"/>
    <col min="2" max="2" width="17" bestFit="1" customWidth="1"/>
    <col min="3" max="3" width="9.42578125" bestFit="1" customWidth="1"/>
    <col min="4" max="4" width="11.7109375" bestFit="1" customWidth="1"/>
    <col min="5" max="5" width="20.85546875" customWidth="1"/>
    <col min="6" max="6" width="29.7109375" customWidth="1"/>
  </cols>
  <sheetData>
    <row r="3" spans="1:7" x14ac:dyDescent="0.2">
      <c r="A3" s="12" t="s">
        <v>1462</v>
      </c>
      <c r="B3" s="12" t="s">
        <v>1461</v>
      </c>
    </row>
    <row r="4" spans="1:7" x14ac:dyDescent="0.2">
      <c r="A4" s="12" t="s">
        <v>1458</v>
      </c>
      <c r="B4" t="s">
        <v>15</v>
      </c>
      <c r="C4" t="s">
        <v>23</v>
      </c>
      <c r="D4" t="s">
        <v>1459</v>
      </c>
      <c r="E4" t="s">
        <v>1531</v>
      </c>
      <c r="F4" s="17" t="s">
        <v>1527</v>
      </c>
      <c r="G4" t="s">
        <v>1565</v>
      </c>
    </row>
    <row r="5" spans="1:7" x14ac:dyDescent="0.2">
      <c r="A5" s="13" t="s">
        <v>19</v>
      </c>
      <c r="B5" s="16">
        <v>31</v>
      </c>
      <c r="C5" s="16">
        <v>21</v>
      </c>
      <c r="D5" s="16">
        <v>52</v>
      </c>
    </row>
    <row r="6" spans="1:7" x14ac:dyDescent="0.2">
      <c r="A6" s="14" t="s">
        <v>1460</v>
      </c>
      <c r="B6" s="16">
        <v>31</v>
      </c>
      <c r="C6" s="16">
        <v>21</v>
      </c>
      <c r="D6" s="16">
        <v>52</v>
      </c>
    </row>
    <row r="7" spans="1:7" x14ac:dyDescent="0.2">
      <c r="A7" s="15" t="s">
        <v>50</v>
      </c>
      <c r="B7" s="16"/>
      <c r="C7" s="16">
        <v>1</v>
      </c>
      <c r="D7" s="16">
        <v>1</v>
      </c>
    </row>
    <row r="8" spans="1:7" x14ac:dyDescent="0.2">
      <c r="A8" s="15" t="s">
        <v>17</v>
      </c>
      <c r="B8" s="16">
        <v>1</v>
      </c>
      <c r="C8" s="16"/>
      <c r="D8" s="16">
        <v>1</v>
      </c>
    </row>
    <row r="9" spans="1:7" x14ac:dyDescent="0.2">
      <c r="A9" s="15" t="s">
        <v>43</v>
      </c>
      <c r="B9" s="16">
        <v>1</v>
      </c>
      <c r="C9" s="16"/>
      <c r="D9" s="16">
        <v>1</v>
      </c>
    </row>
    <row r="10" spans="1:7" x14ac:dyDescent="0.2">
      <c r="A10" s="15" t="s">
        <v>141</v>
      </c>
      <c r="B10" s="16">
        <v>1</v>
      </c>
      <c r="C10" s="16">
        <v>1</v>
      </c>
      <c r="D10" s="16">
        <v>2</v>
      </c>
    </row>
    <row r="11" spans="1:7" x14ac:dyDescent="0.2">
      <c r="A11" s="15" t="s">
        <v>104</v>
      </c>
      <c r="B11" s="16"/>
      <c r="C11" s="16">
        <v>1</v>
      </c>
      <c r="D11" s="16">
        <v>1</v>
      </c>
    </row>
    <row r="12" spans="1:7" x14ac:dyDescent="0.2">
      <c r="A12" s="15" t="s">
        <v>1440</v>
      </c>
      <c r="B12" s="16">
        <v>1</v>
      </c>
      <c r="C12" s="16"/>
      <c r="D12" s="16">
        <v>1</v>
      </c>
    </row>
    <row r="13" spans="1:7" x14ac:dyDescent="0.2">
      <c r="A13" s="15" t="s">
        <v>134</v>
      </c>
      <c r="B13" s="16">
        <v>1</v>
      </c>
      <c r="C13" s="16">
        <v>2</v>
      </c>
      <c r="D13" s="16">
        <v>3</v>
      </c>
    </row>
    <row r="14" spans="1:7" x14ac:dyDescent="0.2">
      <c r="A14" s="15" t="s">
        <v>25</v>
      </c>
      <c r="B14" s="16"/>
      <c r="C14" s="16">
        <v>1</v>
      </c>
      <c r="D14" s="16">
        <v>1</v>
      </c>
    </row>
    <row r="15" spans="1:7" x14ac:dyDescent="0.2">
      <c r="A15" s="15" t="s">
        <v>110</v>
      </c>
      <c r="B15" s="16">
        <v>1</v>
      </c>
      <c r="C15" s="16"/>
      <c r="D15" s="16">
        <v>1</v>
      </c>
    </row>
    <row r="16" spans="1:7" x14ac:dyDescent="0.2">
      <c r="A16" s="15" t="s">
        <v>29</v>
      </c>
      <c r="B16" s="16"/>
      <c r="C16" s="16">
        <v>1</v>
      </c>
      <c r="D16" s="16">
        <v>1</v>
      </c>
    </row>
    <row r="17" spans="1:4" x14ac:dyDescent="0.2">
      <c r="A17" s="15" t="s">
        <v>75</v>
      </c>
      <c r="B17" s="16">
        <v>1</v>
      </c>
      <c r="C17" s="16"/>
      <c r="D17" s="16">
        <v>1</v>
      </c>
    </row>
    <row r="18" spans="1:4" x14ac:dyDescent="0.2">
      <c r="A18" s="15" t="s">
        <v>41</v>
      </c>
      <c r="B18" s="16"/>
      <c r="C18" s="16">
        <v>1</v>
      </c>
      <c r="D18" s="16">
        <v>1</v>
      </c>
    </row>
    <row r="19" spans="1:4" x14ac:dyDescent="0.2">
      <c r="A19" s="15" t="s">
        <v>84</v>
      </c>
      <c r="B19" s="16"/>
      <c r="C19" s="16">
        <v>1</v>
      </c>
      <c r="D19" s="16">
        <v>1</v>
      </c>
    </row>
    <row r="20" spans="1:4" x14ac:dyDescent="0.2">
      <c r="A20" s="15" t="s">
        <v>1422</v>
      </c>
      <c r="B20" s="16">
        <v>1</v>
      </c>
      <c r="C20" s="16"/>
      <c r="D20" s="16">
        <v>1</v>
      </c>
    </row>
    <row r="21" spans="1:4" x14ac:dyDescent="0.2">
      <c r="A21" s="15" t="s">
        <v>79</v>
      </c>
      <c r="B21" s="16">
        <v>1</v>
      </c>
      <c r="C21" s="16"/>
      <c r="D21" s="16">
        <v>1</v>
      </c>
    </row>
    <row r="22" spans="1:4" x14ac:dyDescent="0.2">
      <c r="A22" s="15" t="s">
        <v>63</v>
      </c>
      <c r="B22" s="16"/>
      <c r="C22" s="16">
        <v>1</v>
      </c>
      <c r="D22" s="16">
        <v>1</v>
      </c>
    </row>
    <row r="23" spans="1:4" x14ac:dyDescent="0.2">
      <c r="A23" s="15" t="s">
        <v>72</v>
      </c>
      <c r="B23" s="16">
        <v>1</v>
      </c>
      <c r="C23" s="16"/>
      <c r="D23" s="16">
        <v>1</v>
      </c>
    </row>
    <row r="24" spans="1:4" x14ac:dyDescent="0.2">
      <c r="A24" s="15" t="s">
        <v>1436</v>
      </c>
      <c r="B24" s="16">
        <v>1</v>
      </c>
      <c r="C24" s="16"/>
      <c r="D24" s="16">
        <v>1</v>
      </c>
    </row>
    <row r="25" spans="1:4" x14ac:dyDescent="0.2">
      <c r="A25" s="15" t="s">
        <v>35</v>
      </c>
      <c r="B25" s="16">
        <v>1</v>
      </c>
      <c r="C25" s="16"/>
      <c r="D25" s="16">
        <v>1</v>
      </c>
    </row>
    <row r="26" spans="1:4" x14ac:dyDescent="0.2">
      <c r="A26" s="15" t="s">
        <v>138</v>
      </c>
      <c r="B26" s="16"/>
      <c r="C26" s="16">
        <v>1</v>
      </c>
      <c r="D26" s="16">
        <v>1</v>
      </c>
    </row>
    <row r="27" spans="1:4" x14ac:dyDescent="0.2">
      <c r="A27" s="15" t="s">
        <v>81</v>
      </c>
      <c r="B27" s="16">
        <v>1</v>
      </c>
      <c r="C27" s="16"/>
      <c r="D27" s="16">
        <v>1</v>
      </c>
    </row>
    <row r="28" spans="1:4" x14ac:dyDescent="0.2">
      <c r="A28" s="15" t="s">
        <v>117</v>
      </c>
      <c r="B28" s="16">
        <v>1</v>
      </c>
      <c r="C28" s="16">
        <v>1</v>
      </c>
      <c r="D28" s="16">
        <v>2</v>
      </c>
    </row>
    <row r="29" spans="1:4" x14ac:dyDescent="0.2">
      <c r="A29" s="15" t="s">
        <v>38</v>
      </c>
      <c r="B29" s="16">
        <v>1</v>
      </c>
      <c r="C29" s="16"/>
      <c r="D29" s="16">
        <v>1</v>
      </c>
    </row>
    <row r="30" spans="1:4" x14ac:dyDescent="0.2">
      <c r="A30" s="15" t="s">
        <v>66</v>
      </c>
      <c r="B30" s="16"/>
      <c r="C30" s="16">
        <v>1</v>
      </c>
      <c r="D30" s="16">
        <v>1</v>
      </c>
    </row>
    <row r="31" spans="1:4" x14ac:dyDescent="0.2">
      <c r="A31" s="15" t="s">
        <v>47</v>
      </c>
      <c r="B31" s="16">
        <v>1</v>
      </c>
      <c r="C31" s="16"/>
      <c r="D31" s="16">
        <v>1</v>
      </c>
    </row>
    <row r="32" spans="1:4" x14ac:dyDescent="0.2">
      <c r="A32" s="15" t="s">
        <v>69</v>
      </c>
      <c r="B32" s="16"/>
      <c r="C32" s="16">
        <v>1</v>
      </c>
      <c r="D32" s="16">
        <v>1</v>
      </c>
    </row>
    <row r="33" spans="1:4" x14ac:dyDescent="0.2">
      <c r="A33" s="15" t="s">
        <v>1438</v>
      </c>
      <c r="B33" s="16">
        <v>1</v>
      </c>
      <c r="C33" s="16"/>
      <c r="D33" s="16">
        <v>1</v>
      </c>
    </row>
    <row r="34" spans="1:4" x14ac:dyDescent="0.2">
      <c r="A34" s="15" t="s">
        <v>86</v>
      </c>
      <c r="B34" s="16">
        <v>1</v>
      </c>
      <c r="C34" s="16"/>
      <c r="D34" s="16">
        <v>1</v>
      </c>
    </row>
    <row r="35" spans="1:4" x14ac:dyDescent="0.2">
      <c r="A35" s="15" t="s">
        <v>95</v>
      </c>
      <c r="B35" s="16"/>
      <c r="C35" s="16">
        <v>1</v>
      </c>
      <c r="D35" s="16">
        <v>1</v>
      </c>
    </row>
    <row r="36" spans="1:4" x14ac:dyDescent="0.2">
      <c r="A36" s="15" t="s">
        <v>102</v>
      </c>
      <c r="B36" s="16"/>
      <c r="C36" s="16">
        <v>1</v>
      </c>
      <c r="D36" s="16">
        <v>1</v>
      </c>
    </row>
    <row r="37" spans="1:4" x14ac:dyDescent="0.2">
      <c r="A37" s="15" t="s">
        <v>59</v>
      </c>
      <c r="B37" s="16">
        <v>1</v>
      </c>
      <c r="C37" s="16"/>
      <c r="D37" s="16">
        <v>1</v>
      </c>
    </row>
    <row r="38" spans="1:4" x14ac:dyDescent="0.2">
      <c r="A38" s="15" t="s">
        <v>127</v>
      </c>
      <c r="B38" s="16">
        <v>1</v>
      </c>
      <c r="C38" s="16"/>
      <c r="D38" s="16">
        <v>1</v>
      </c>
    </row>
    <row r="39" spans="1:4" x14ac:dyDescent="0.2">
      <c r="A39" s="15" t="s">
        <v>1434</v>
      </c>
      <c r="B39" s="16">
        <v>1</v>
      </c>
      <c r="C39" s="16"/>
      <c r="D39" s="16">
        <v>1</v>
      </c>
    </row>
    <row r="40" spans="1:4" x14ac:dyDescent="0.2">
      <c r="A40" s="15" t="s">
        <v>56</v>
      </c>
      <c r="B40" s="16"/>
      <c r="C40" s="16">
        <v>1</v>
      </c>
      <c r="D40" s="16">
        <v>1</v>
      </c>
    </row>
    <row r="41" spans="1:4" x14ac:dyDescent="0.2">
      <c r="A41" s="15" t="s">
        <v>124</v>
      </c>
      <c r="B41" s="16">
        <v>1</v>
      </c>
      <c r="C41" s="16"/>
      <c r="D41" s="16">
        <v>1</v>
      </c>
    </row>
    <row r="42" spans="1:4" x14ac:dyDescent="0.2">
      <c r="A42" s="15" t="s">
        <v>1339</v>
      </c>
      <c r="B42" s="16">
        <v>1</v>
      </c>
      <c r="C42" s="16"/>
      <c r="D42" s="16">
        <v>1</v>
      </c>
    </row>
    <row r="43" spans="1:4" x14ac:dyDescent="0.2">
      <c r="A43" s="15" t="s">
        <v>130</v>
      </c>
      <c r="B43" s="16">
        <v>1</v>
      </c>
      <c r="C43" s="16"/>
      <c r="D43" s="16">
        <v>1</v>
      </c>
    </row>
    <row r="44" spans="1:4" x14ac:dyDescent="0.2">
      <c r="A44" s="15" t="s">
        <v>33</v>
      </c>
      <c r="B44" s="16">
        <v>1</v>
      </c>
      <c r="C44" s="16"/>
      <c r="D44" s="16">
        <v>1</v>
      </c>
    </row>
    <row r="45" spans="1:4" x14ac:dyDescent="0.2">
      <c r="A45" s="15" t="s">
        <v>114</v>
      </c>
      <c r="B45" s="16">
        <v>1</v>
      </c>
      <c r="C45" s="16"/>
      <c r="D45" s="16">
        <v>1</v>
      </c>
    </row>
    <row r="46" spans="1:4" x14ac:dyDescent="0.2">
      <c r="A46" s="15" t="s">
        <v>89</v>
      </c>
      <c r="B46" s="16">
        <v>1</v>
      </c>
      <c r="C46" s="16"/>
      <c r="D46" s="16">
        <v>1</v>
      </c>
    </row>
    <row r="47" spans="1:4" x14ac:dyDescent="0.2">
      <c r="A47" s="15" t="s">
        <v>92</v>
      </c>
      <c r="B47" s="16">
        <v>1</v>
      </c>
      <c r="C47" s="16"/>
      <c r="D47" s="16">
        <v>1</v>
      </c>
    </row>
    <row r="48" spans="1:4" x14ac:dyDescent="0.2">
      <c r="A48" s="15" t="s">
        <v>54</v>
      </c>
      <c r="B48" s="16"/>
      <c r="C48" s="16">
        <v>1</v>
      </c>
      <c r="D48" s="16">
        <v>1</v>
      </c>
    </row>
    <row r="49" spans="1:6" x14ac:dyDescent="0.2">
      <c r="A49" s="15" t="s">
        <v>144</v>
      </c>
      <c r="B49" s="16">
        <v>1</v>
      </c>
      <c r="C49" s="16"/>
      <c r="D49" s="16">
        <v>1</v>
      </c>
    </row>
    <row r="50" spans="1:6" x14ac:dyDescent="0.2">
      <c r="A50" s="15" t="s">
        <v>107</v>
      </c>
      <c r="B50" s="16"/>
      <c r="C50" s="16">
        <v>1</v>
      </c>
      <c r="D50" s="16">
        <v>1</v>
      </c>
      <c r="E50" t="s">
        <v>1463</v>
      </c>
      <c r="F50" s="17" t="s">
        <v>1528</v>
      </c>
    </row>
    <row r="51" spans="1:6" x14ac:dyDescent="0.2">
      <c r="A51" s="15" t="s">
        <v>1252</v>
      </c>
      <c r="B51" s="16">
        <v>1</v>
      </c>
      <c r="C51" s="16">
        <v>2</v>
      </c>
      <c r="D51" s="16">
        <v>3</v>
      </c>
    </row>
    <row r="52" spans="1:6" x14ac:dyDescent="0.2">
      <c r="A52" s="15" t="s">
        <v>98</v>
      </c>
      <c r="B52" s="16">
        <v>1</v>
      </c>
      <c r="C52" s="16"/>
      <c r="D52" s="16">
        <v>1</v>
      </c>
    </row>
    <row r="53" spans="1:6" x14ac:dyDescent="0.2">
      <c r="A53" s="13" t="s">
        <v>149</v>
      </c>
      <c r="B53" s="16">
        <v>1</v>
      </c>
      <c r="C53" s="16"/>
      <c r="D53" s="16">
        <v>1</v>
      </c>
    </row>
    <row r="54" spans="1:6" x14ac:dyDescent="0.2">
      <c r="A54" s="14" t="s">
        <v>148</v>
      </c>
      <c r="B54" s="16">
        <v>1</v>
      </c>
      <c r="C54" s="16"/>
      <c r="D54" s="16">
        <v>1</v>
      </c>
    </row>
    <row r="55" spans="1:6" x14ac:dyDescent="0.2">
      <c r="A55" s="15" t="s">
        <v>147</v>
      </c>
      <c r="B55" s="16">
        <v>1</v>
      </c>
      <c r="C55" s="16"/>
      <c r="D55" s="16">
        <v>1</v>
      </c>
    </row>
    <row r="56" spans="1:6" x14ac:dyDescent="0.2">
      <c r="A56" s="13" t="s">
        <v>1156</v>
      </c>
      <c r="B56" s="16">
        <v>12</v>
      </c>
      <c r="C56" s="16">
        <v>4</v>
      </c>
      <c r="D56" s="16">
        <v>16</v>
      </c>
    </row>
    <row r="57" spans="1:6" x14ac:dyDescent="0.2">
      <c r="A57" s="14" t="s">
        <v>1181</v>
      </c>
      <c r="B57" s="16">
        <v>1</v>
      </c>
      <c r="C57" s="16">
        <v>2</v>
      </c>
      <c r="D57" s="16">
        <v>3</v>
      </c>
    </row>
    <row r="58" spans="1:6" x14ac:dyDescent="0.2">
      <c r="A58" s="15" t="s">
        <v>1407</v>
      </c>
      <c r="B58" s="16">
        <v>1</v>
      </c>
      <c r="C58" s="16">
        <v>2</v>
      </c>
      <c r="D58" s="16">
        <v>3</v>
      </c>
    </row>
    <row r="59" spans="1:6" x14ac:dyDescent="0.2">
      <c r="A59" s="14" t="s">
        <v>1187</v>
      </c>
      <c r="B59" s="16">
        <v>2</v>
      </c>
      <c r="C59" s="16"/>
      <c r="D59" s="16">
        <v>2</v>
      </c>
    </row>
    <row r="60" spans="1:6" x14ac:dyDescent="0.2">
      <c r="A60" s="15" t="s">
        <v>1294</v>
      </c>
      <c r="B60" s="16">
        <v>1</v>
      </c>
      <c r="C60" s="16"/>
      <c r="D60" s="16">
        <v>1</v>
      </c>
    </row>
    <row r="61" spans="1:6" x14ac:dyDescent="0.2">
      <c r="A61" s="15" t="s">
        <v>1186</v>
      </c>
      <c r="B61" s="16">
        <v>1</v>
      </c>
      <c r="C61" s="16"/>
      <c r="D61" s="16">
        <v>1</v>
      </c>
    </row>
    <row r="62" spans="1:6" x14ac:dyDescent="0.2">
      <c r="A62" s="14" t="s">
        <v>1460</v>
      </c>
      <c r="B62" s="16">
        <v>9</v>
      </c>
      <c r="C62" s="16">
        <v>2</v>
      </c>
      <c r="D62" s="16">
        <v>11</v>
      </c>
      <c r="E62" t="s">
        <v>1464</v>
      </c>
      <c r="F62" s="17" t="s">
        <v>1528</v>
      </c>
    </row>
    <row r="63" spans="1:6" x14ac:dyDescent="0.2">
      <c r="A63" s="15" t="s">
        <v>1155</v>
      </c>
      <c r="B63" s="16"/>
      <c r="C63" s="16">
        <v>1</v>
      </c>
      <c r="D63" s="16">
        <v>1</v>
      </c>
      <c r="F63" s="17" t="s">
        <v>1529</v>
      </c>
    </row>
    <row r="64" spans="1:6" x14ac:dyDescent="0.2">
      <c r="A64" s="15" t="s">
        <v>1164</v>
      </c>
      <c r="B64" s="16">
        <v>1</v>
      </c>
      <c r="C64" s="16"/>
      <c r="D64" s="16">
        <v>1</v>
      </c>
      <c r="F64" s="17" t="s">
        <v>1529</v>
      </c>
    </row>
    <row r="65" spans="1:6" x14ac:dyDescent="0.2">
      <c r="A65" s="15" t="s">
        <v>1173</v>
      </c>
      <c r="B65" s="16">
        <v>1</v>
      </c>
      <c r="C65" s="16"/>
      <c r="D65" s="16">
        <v>1</v>
      </c>
      <c r="F65" s="17" t="s">
        <v>1529</v>
      </c>
    </row>
    <row r="66" spans="1:6" x14ac:dyDescent="0.2">
      <c r="A66" s="15" t="s">
        <v>1170</v>
      </c>
      <c r="B66" s="16">
        <v>1</v>
      </c>
      <c r="C66" s="16"/>
      <c r="D66" s="16">
        <v>1</v>
      </c>
      <c r="F66" s="17" t="s">
        <v>1529</v>
      </c>
    </row>
    <row r="67" spans="1:6" x14ac:dyDescent="0.2">
      <c r="A67" s="15" t="s">
        <v>1162</v>
      </c>
      <c r="B67" s="16">
        <v>1</v>
      </c>
      <c r="C67" s="16"/>
      <c r="D67" s="16">
        <v>1</v>
      </c>
      <c r="F67" s="17" t="s">
        <v>1529</v>
      </c>
    </row>
    <row r="68" spans="1:6" x14ac:dyDescent="0.2">
      <c r="A68" s="15" t="s">
        <v>1193</v>
      </c>
      <c r="B68" s="16">
        <v>1</v>
      </c>
      <c r="C68" s="16"/>
      <c r="D68" s="16">
        <v>1</v>
      </c>
      <c r="F68" s="17" t="s">
        <v>1529</v>
      </c>
    </row>
    <row r="69" spans="1:6" x14ac:dyDescent="0.2">
      <c r="A69" s="15" t="s">
        <v>1167</v>
      </c>
      <c r="B69" s="16">
        <v>1</v>
      </c>
      <c r="C69" s="16"/>
      <c r="D69" s="16">
        <v>1</v>
      </c>
      <c r="E69" t="s">
        <v>1465</v>
      </c>
      <c r="F69" s="18" t="s">
        <v>1530</v>
      </c>
    </row>
    <row r="70" spans="1:6" x14ac:dyDescent="0.2">
      <c r="A70" s="15" t="s">
        <v>1405</v>
      </c>
      <c r="B70" s="16">
        <v>1</v>
      </c>
      <c r="C70" s="16"/>
      <c r="D70" s="16">
        <v>1</v>
      </c>
      <c r="F70" s="17" t="s">
        <v>1529</v>
      </c>
    </row>
    <row r="71" spans="1:6" x14ac:dyDescent="0.2">
      <c r="A71" s="15" t="s">
        <v>1445</v>
      </c>
      <c r="B71" s="16"/>
      <c r="C71" s="16">
        <v>1</v>
      </c>
      <c r="D71" s="16">
        <v>1</v>
      </c>
      <c r="F71" s="17" t="s">
        <v>1529</v>
      </c>
    </row>
    <row r="72" spans="1:6" x14ac:dyDescent="0.2">
      <c r="A72" s="15" t="s">
        <v>1177</v>
      </c>
      <c r="B72" s="16">
        <v>1</v>
      </c>
      <c r="C72" s="16"/>
      <c r="D72" s="16">
        <v>1</v>
      </c>
      <c r="F72" s="17" t="s">
        <v>1529</v>
      </c>
    </row>
    <row r="73" spans="1:6" x14ac:dyDescent="0.2">
      <c r="A73" s="15" t="s">
        <v>1403</v>
      </c>
      <c r="B73" s="16">
        <v>1</v>
      </c>
      <c r="C73" s="16"/>
      <c r="D73" s="16">
        <v>1</v>
      </c>
      <c r="F73" s="17" t="s">
        <v>1529</v>
      </c>
    </row>
    <row r="74" spans="1:6" x14ac:dyDescent="0.2">
      <c r="A74" s="13" t="s">
        <v>156</v>
      </c>
      <c r="B74" s="16">
        <v>1</v>
      </c>
      <c r="C74" s="16">
        <v>2</v>
      </c>
      <c r="D74" s="16">
        <v>3</v>
      </c>
    </row>
    <row r="75" spans="1:6" x14ac:dyDescent="0.2">
      <c r="A75" s="14" t="s">
        <v>159</v>
      </c>
      <c r="B75" s="16">
        <v>1</v>
      </c>
      <c r="C75" s="16">
        <v>1</v>
      </c>
      <c r="D75" s="16">
        <v>2</v>
      </c>
    </row>
    <row r="76" spans="1:6" x14ac:dyDescent="0.2">
      <c r="A76" s="15" t="s">
        <v>158</v>
      </c>
      <c r="B76" s="16"/>
      <c r="C76" s="16">
        <v>1</v>
      </c>
      <c r="D76" s="16">
        <v>1</v>
      </c>
    </row>
    <row r="77" spans="1:6" x14ac:dyDescent="0.2">
      <c r="A77" s="15" t="s">
        <v>161</v>
      </c>
      <c r="B77" s="16">
        <v>1</v>
      </c>
      <c r="C77" s="16"/>
      <c r="D77" s="16">
        <v>1</v>
      </c>
    </row>
    <row r="78" spans="1:6" x14ac:dyDescent="0.2">
      <c r="A78" s="14" t="s">
        <v>1460</v>
      </c>
      <c r="B78" s="16"/>
      <c r="C78" s="16">
        <v>1</v>
      </c>
      <c r="D78" s="16">
        <v>1</v>
      </c>
    </row>
    <row r="79" spans="1:6" x14ac:dyDescent="0.2">
      <c r="A79" s="15" t="s">
        <v>155</v>
      </c>
      <c r="B79" s="16"/>
      <c r="C79" s="16">
        <v>1</v>
      </c>
      <c r="D79" s="16">
        <v>1</v>
      </c>
    </row>
    <row r="80" spans="1:6" x14ac:dyDescent="0.2">
      <c r="A80" s="13" t="s">
        <v>428</v>
      </c>
      <c r="B80" s="16"/>
      <c r="C80" s="16">
        <v>3</v>
      </c>
      <c r="D80" s="16">
        <v>3</v>
      </c>
    </row>
    <row r="81" spans="1:6" x14ac:dyDescent="0.2">
      <c r="A81" s="14" t="s">
        <v>1460</v>
      </c>
      <c r="B81" s="16"/>
      <c r="C81" s="16">
        <v>3</v>
      </c>
      <c r="D81" s="16">
        <v>3</v>
      </c>
    </row>
    <row r="82" spans="1:6" x14ac:dyDescent="0.2">
      <c r="A82" s="15" t="s">
        <v>434</v>
      </c>
      <c r="B82" s="16"/>
      <c r="C82" s="16">
        <v>1</v>
      </c>
      <c r="D82" s="16">
        <v>1</v>
      </c>
    </row>
    <row r="83" spans="1:6" x14ac:dyDescent="0.2">
      <c r="A83" s="15" t="s">
        <v>427</v>
      </c>
      <c r="B83" s="16"/>
      <c r="C83" s="16">
        <v>1</v>
      </c>
      <c r="D83" s="16">
        <v>1</v>
      </c>
    </row>
    <row r="84" spans="1:6" x14ac:dyDescent="0.2">
      <c r="A84" s="15" t="s">
        <v>438</v>
      </c>
      <c r="B84" s="16"/>
      <c r="C84" s="16">
        <v>1</v>
      </c>
      <c r="D84" s="16">
        <v>1</v>
      </c>
    </row>
    <row r="85" spans="1:6" x14ac:dyDescent="0.2">
      <c r="A85" s="13" t="s">
        <v>164</v>
      </c>
      <c r="B85" s="16">
        <v>2</v>
      </c>
      <c r="C85" s="16"/>
      <c r="D85" s="16">
        <v>2</v>
      </c>
    </row>
    <row r="86" spans="1:6" x14ac:dyDescent="0.2">
      <c r="A86" s="14" t="s">
        <v>1460</v>
      </c>
      <c r="B86" s="16">
        <v>2</v>
      </c>
      <c r="C86" s="16"/>
      <c r="D86" s="16">
        <v>2</v>
      </c>
    </row>
    <row r="87" spans="1:6" x14ac:dyDescent="0.2">
      <c r="A87" s="15" t="s">
        <v>163</v>
      </c>
      <c r="B87" s="16">
        <v>1</v>
      </c>
      <c r="C87" s="16"/>
      <c r="D87" s="16">
        <v>1</v>
      </c>
    </row>
    <row r="88" spans="1:6" x14ac:dyDescent="0.2">
      <c r="A88" s="15" t="s">
        <v>170</v>
      </c>
      <c r="B88" s="16">
        <v>1</v>
      </c>
      <c r="C88" s="16"/>
      <c r="D88" s="16">
        <v>1</v>
      </c>
    </row>
    <row r="89" spans="1:6" x14ac:dyDescent="0.2">
      <c r="A89" s="13" t="s">
        <v>505</v>
      </c>
      <c r="B89" s="16">
        <v>23</v>
      </c>
      <c r="C89" s="16"/>
      <c r="D89" s="16">
        <v>23</v>
      </c>
    </row>
    <row r="90" spans="1:6" x14ac:dyDescent="0.2">
      <c r="A90" s="14" t="s">
        <v>504</v>
      </c>
      <c r="B90" s="16">
        <v>22</v>
      </c>
      <c r="C90" s="16"/>
      <c r="D90" s="16">
        <v>22</v>
      </c>
    </row>
    <row r="91" spans="1:6" x14ac:dyDescent="0.2">
      <c r="A91" s="15" t="s">
        <v>522</v>
      </c>
      <c r="B91" s="16">
        <v>1</v>
      </c>
      <c r="C91" s="16"/>
      <c r="D91" s="16">
        <v>1</v>
      </c>
      <c r="E91" t="s">
        <v>1466</v>
      </c>
      <c r="F91" s="17" t="s">
        <v>1533</v>
      </c>
    </row>
    <row r="92" spans="1:6" x14ac:dyDescent="0.2">
      <c r="A92" s="15" t="s">
        <v>525</v>
      </c>
      <c r="B92" s="16">
        <v>1</v>
      </c>
      <c r="C92" s="16"/>
      <c r="D92" s="16">
        <v>1</v>
      </c>
      <c r="F92" s="17"/>
    </row>
    <row r="93" spans="1:6" x14ac:dyDescent="0.2">
      <c r="A93" s="15" t="s">
        <v>1379</v>
      </c>
      <c r="B93" s="16">
        <v>1</v>
      </c>
      <c r="C93" s="16"/>
      <c r="D93" s="16">
        <v>1</v>
      </c>
      <c r="F93" s="17" t="s">
        <v>1532</v>
      </c>
    </row>
    <row r="94" spans="1:6" x14ac:dyDescent="0.2">
      <c r="A94" s="15" t="s">
        <v>528</v>
      </c>
      <c r="B94" s="16">
        <v>1</v>
      </c>
      <c r="C94" s="16"/>
      <c r="D94" s="16">
        <v>1</v>
      </c>
    </row>
    <row r="95" spans="1:6" x14ac:dyDescent="0.2">
      <c r="A95" s="15" t="s">
        <v>531</v>
      </c>
      <c r="B95" s="16">
        <v>1</v>
      </c>
      <c r="C95" s="16"/>
      <c r="D95" s="16">
        <v>1</v>
      </c>
    </row>
    <row r="96" spans="1:6" x14ac:dyDescent="0.2">
      <c r="A96" s="15" t="s">
        <v>503</v>
      </c>
      <c r="B96" s="16">
        <v>1</v>
      </c>
      <c r="C96" s="16"/>
      <c r="D96" s="16">
        <v>1</v>
      </c>
    </row>
    <row r="97" spans="1:4" x14ac:dyDescent="0.2">
      <c r="A97" s="15" t="s">
        <v>513</v>
      </c>
      <c r="B97" s="16">
        <v>1</v>
      </c>
      <c r="C97" s="16"/>
      <c r="D97" s="16">
        <v>1</v>
      </c>
    </row>
    <row r="98" spans="1:4" x14ac:dyDescent="0.2">
      <c r="A98" s="15" t="s">
        <v>516</v>
      </c>
      <c r="B98" s="16">
        <v>1</v>
      </c>
      <c r="C98" s="16"/>
      <c r="D98" s="16">
        <v>1</v>
      </c>
    </row>
    <row r="99" spans="1:4" x14ac:dyDescent="0.2">
      <c r="A99" s="15" t="s">
        <v>562</v>
      </c>
      <c r="B99" s="16">
        <v>1</v>
      </c>
      <c r="C99" s="16"/>
      <c r="D99" s="16">
        <v>1</v>
      </c>
    </row>
    <row r="100" spans="1:4" x14ac:dyDescent="0.2">
      <c r="A100" s="15" t="s">
        <v>519</v>
      </c>
      <c r="B100" s="16">
        <v>1</v>
      </c>
      <c r="C100" s="16"/>
      <c r="D100" s="16">
        <v>1</v>
      </c>
    </row>
    <row r="101" spans="1:4" x14ac:dyDescent="0.2">
      <c r="A101" s="15" t="s">
        <v>534</v>
      </c>
      <c r="B101" s="16">
        <v>1</v>
      </c>
      <c r="C101" s="16"/>
      <c r="D101" s="16">
        <v>1</v>
      </c>
    </row>
    <row r="102" spans="1:4" x14ac:dyDescent="0.2">
      <c r="A102" s="15" t="s">
        <v>536</v>
      </c>
      <c r="B102" s="16">
        <v>1</v>
      </c>
      <c r="C102" s="16"/>
      <c r="D102" s="16">
        <v>1</v>
      </c>
    </row>
    <row r="103" spans="1:4" x14ac:dyDescent="0.2">
      <c r="A103" s="15" t="s">
        <v>539</v>
      </c>
      <c r="B103" s="16">
        <v>1</v>
      </c>
      <c r="C103" s="16"/>
      <c r="D103" s="16">
        <v>1</v>
      </c>
    </row>
    <row r="104" spans="1:4" x14ac:dyDescent="0.2">
      <c r="A104" s="15" t="s">
        <v>541</v>
      </c>
      <c r="B104" s="16">
        <v>1</v>
      </c>
      <c r="C104" s="16"/>
      <c r="D104" s="16">
        <v>1</v>
      </c>
    </row>
    <row r="105" spans="1:4" x14ac:dyDescent="0.2">
      <c r="A105" s="15" t="s">
        <v>544</v>
      </c>
      <c r="B105" s="16">
        <v>1</v>
      </c>
      <c r="C105" s="16"/>
      <c r="D105" s="16">
        <v>1</v>
      </c>
    </row>
    <row r="106" spans="1:4" x14ac:dyDescent="0.2">
      <c r="A106" s="15" t="s">
        <v>547</v>
      </c>
      <c r="B106" s="16">
        <v>1</v>
      </c>
      <c r="C106" s="16"/>
      <c r="D106" s="16">
        <v>1</v>
      </c>
    </row>
    <row r="107" spans="1:4" x14ac:dyDescent="0.2">
      <c r="A107" s="15" t="s">
        <v>550</v>
      </c>
      <c r="B107" s="16">
        <v>1</v>
      </c>
      <c r="C107" s="16"/>
      <c r="D107" s="16">
        <v>1</v>
      </c>
    </row>
    <row r="108" spans="1:4" x14ac:dyDescent="0.2">
      <c r="A108" s="15" t="s">
        <v>1456</v>
      </c>
      <c r="B108" s="16">
        <v>1</v>
      </c>
      <c r="C108" s="16"/>
      <c r="D108" s="16">
        <v>1</v>
      </c>
    </row>
    <row r="109" spans="1:4" x14ac:dyDescent="0.2">
      <c r="A109" s="15" t="s">
        <v>553</v>
      </c>
      <c r="B109" s="16">
        <v>1</v>
      </c>
      <c r="C109" s="16"/>
      <c r="D109" s="16">
        <v>1</v>
      </c>
    </row>
    <row r="110" spans="1:4" x14ac:dyDescent="0.2">
      <c r="A110" s="15" t="s">
        <v>555</v>
      </c>
      <c r="B110" s="16">
        <v>1</v>
      </c>
      <c r="C110" s="16"/>
      <c r="D110" s="16">
        <v>1</v>
      </c>
    </row>
    <row r="111" spans="1:4" x14ac:dyDescent="0.2">
      <c r="A111" s="15" t="s">
        <v>557</v>
      </c>
      <c r="B111" s="16">
        <v>1</v>
      </c>
      <c r="C111" s="16"/>
      <c r="D111" s="16">
        <v>1</v>
      </c>
    </row>
    <row r="112" spans="1:4" x14ac:dyDescent="0.2">
      <c r="A112" s="15" t="s">
        <v>560</v>
      </c>
      <c r="B112" s="16">
        <v>1</v>
      </c>
      <c r="C112" s="16"/>
      <c r="D112" s="16">
        <v>1</v>
      </c>
    </row>
    <row r="113" spans="1:4" x14ac:dyDescent="0.2">
      <c r="A113" s="14" t="s">
        <v>567</v>
      </c>
      <c r="B113" s="16">
        <v>1</v>
      </c>
      <c r="C113" s="16"/>
      <c r="D113" s="16">
        <v>1</v>
      </c>
    </row>
    <row r="114" spans="1:4" x14ac:dyDescent="0.2">
      <c r="A114" s="15" t="s">
        <v>566</v>
      </c>
      <c r="B114" s="16">
        <v>1</v>
      </c>
      <c r="C114" s="16"/>
      <c r="D114" s="16">
        <v>1</v>
      </c>
    </row>
    <row r="115" spans="1:4" x14ac:dyDescent="0.2">
      <c r="A115" s="13" t="s">
        <v>573</v>
      </c>
      <c r="B115" s="16">
        <v>24</v>
      </c>
      <c r="C115" s="16">
        <v>4</v>
      </c>
      <c r="D115" s="16">
        <v>28</v>
      </c>
    </row>
    <row r="116" spans="1:4" x14ac:dyDescent="0.2">
      <c r="A116" s="14" t="s">
        <v>650</v>
      </c>
      <c r="B116" s="16">
        <v>3</v>
      </c>
      <c r="C116" s="16">
        <v>1</v>
      </c>
      <c r="D116" s="16">
        <v>4</v>
      </c>
    </row>
    <row r="117" spans="1:4" x14ac:dyDescent="0.2">
      <c r="A117" s="15" t="s">
        <v>661</v>
      </c>
      <c r="B117" s="16">
        <v>1</v>
      </c>
      <c r="C117" s="16"/>
      <c r="D117" s="16">
        <v>1</v>
      </c>
    </row>
    <row r="118" spans="1:4" x14ac:dyDescent="0.2">
      <c r="A118" s="15" t="s">
        <v>649</v>
      </c>
      <c r="B118" s="16">
        <v>1</v>
      </c>
      <c r="C118" s="16"/>
      <c r="D118" s="16">
        <v>1</v>
      </c>
    </row>
    <row r="119" spans="1:4" x14ac:dyDescent="0.2">
      <c r="A119" s="15" t="s">
        <v>665</v>
      </c>
      <c r="B119" s="16"/>
      <c r="C119" s="16">
        <v>1</v>
      </c>
      <c r="D119" s="16">
        <v>1</v>
      </c>
    </row>
    <row r="120" spans="1:4" x14ac:dyDescent="0.2">
      <c r="A120" s="15" t="s">
        <v>657</v>
      </c>
      <c r="B120" s="16">
        <v>1</v>
      </c>
      <c r="C120" s="16"/>
      <c r="D120" s="16">
        <v>1</v>
      </c>
    </row>
    <row r="121" spans="1:4" x14ac:dyDescent="0.2">
      <c r="A121" s="14" t="s">
        <v>581</v>
      </c>
      <c r="B121" s="16">
        <v>2</v>
      </c>
      <c r="C121" s="16"/>
      <c r="D121" s="16">
        <v>2</v>
      </c>
    </row>
    <row r="122" spans="1:4" x14ac:dyDescent="0.2">
      <c r="A122" s="15" t="s">
        <v>580</v>
      </c>
      <c r="B122" s="16">
        <v>1</v>
      </c>
      <c r="C122" s="16"/>
      <c r="D122" s="16">
        <v>1</v>
      </c>
    </row>
    <row r="123" spans="1:4" x14ac:dyDescent="0.2">
      <c r="A123" s="15" t="s">
        <v>585</v>
      </c>
      <c r="B123" s="16">
        <v>1</v>
      </c>
      <c r="C123" s="16"/>
      <c r="D123" s="16">
        <v>1</v>
      </c>
    </row>
    <row r="124" spans="1:4" x14ac:dyDescent="0.2">
      <c r="A124" s="14" t="s">
        <v>589</v>
      </c>
      <c r="B124" s="16">
        <v>2</v>
      </c>
      <c r="C124" s="16"/>
      <c r="D124" s="16">
        <v>2</v>
      </c>
    </row>
    <row r="125" spans="1:4" x14ac:dyDescent="0.2">
      <c r="A125" s="15" t="s">
        <v>594</v>
      </c>
      <c r="B125" s="16">
        <v>1</v>
      </c>
      <c r="C125" s="16"/>
      <c r="D125" s="16">
        <v>1</v>
      </c>
    </row>
    <row r="126" spans="1:4" x14ac:dyDescent="0.2">
      <c r="A126" s="15" t="s">
        <v>588</v>
      </c>
      <c r="B126" s="16">
        <v>1</v>
      </c>
      <c r="C126" s="16"/>
      <c r="D126" s="16">
        <v>1</v>
      </c>
    </row>
    <row r="127" spans="1:4" x14ac:dyDescent="0.2">
      <c r="A127" s="14" t="s">
        <v>670</v>
      </c>
      <c r="B127" s="16">
        <v>2</v>
      </c>
      <c r="C127" s="16"/>
      <c r="D127" s="16">
        <v>2</v>
      </c>
    </row>
    <row r="128" spans="1:4" x14ac:dyDescent="0.2">
      <c r="A128" s="15" t="s">
        <v>669</v>
      </c>
      <c r="B128" s="16">
        <v>1</v>
      </c>
      <c r="C128" s="16"/>
      <c r="D128" s="16">
        <v>1</v>
      </c>
    </row>
    <row r="129" spans="1:4" x14ac:dyDescent="0.2">
      <c r="A129" s="15" t="s">
        <v>675</v>
      </c>
      <c r="B129" s="16">
        <v>1</v>
      </c>
      <c r="C129" s="16"/>
      <c r="D129" s="16">
        <v>1</v>
      </c>
    </row>
    <row r="130" spans="1:4" x14ac:dyDescent="0.2">
      <c r="A130" s="14" t="s">
        <v>597</v>
      </c>
      <c r="B130" s="16">
        <v>14</v>
      </c>
      <c r="C130" s="16">
        <v>2</v>
      </c>
      <c r="D130" s="16">
        <v>16</v>
      </c>
    </row>
    <row r="131" spans="1:4" x14ac:dyDescent="0.2">
      <c r="A131" s="15" t="s">
        <v>616</v>
      </c>
      <c r="B131" s="16"/>
      <c r="C131" s="16">
        <v>1</v>
      </c>
      <c r="D131" s="16">
        <v>1</v>
      </c>
    </row>
    <row r="132" spans="1:4" x14ac:dyDescent="0.2">
      <c r="A132" s="15" t="s">
        <v>596</v>
      </c>
      <c r="B132" s="16">
        <v>1</v>
      </c>
      <c r="C132" s="16"/>
      <c r="D132" s="16">
        <v>1</v>
      </c>
    </row>
    <row r="133" spans="1:4" x14ac:dyDescent="0.2">
      <c r="A133" s="15" t="s">
        <v>603</v>
      </c>
      <c r="B133" s="16">
        <v>1</v>
      </c>
      <c r="C133" s="16"/>
      <c r="D133" s="16">
        <v>1</v>
      </c>
    </row>
    <row r="134" spans="1:4" x14ac:dyDescent="0.2">
      <c r="A134" s="15" t="s">
        <v>607</v>
      </c>
      <c r="B134" s="16">
        <v>1</v>
      </c>
      <c r="C134" s="16"/>
      <c r="D134" s="16">
        <v>1</v>
      </c>
    </row>
    <row r="135" spans="1:4" x14ac:dyDescent="0.2">
      <c r="A135" s="15" t="s">
        <v>620</v>
      </c>
      <c r="B135" s="16">
        <v>1</v>
      </c>
      <c r="C135" s="16"/>
      <c r="D135" s="16">
        <v>1</v>
      </c>
    </row>
    <row r="136" spans="1:4" x14ac:dyDescent="0.2">
      <c r="A136" s="15" t="s">
        <v>610</v>
      </c>
      <c r="B136" s="16">
        <v>1</v>
      </c>
      <c r="C136" s="16"/>
      <c r="D136" s="16">
        <v>1</v>
      </c>
    </row>
    <row r="137" spans="1:4" x14ac:dyDescent="0.2">
      <c r="A137" s="15" t="s">
        <v>623</v>
      </c>
      <c r="B137" s="16">
        <v>1</v>
      </c>
      <c r="C137" s="16"/>
      <c r="D137" s="16">
        <v>1</v>
      </c>
    </row>
    <row r="138" spans="1:4" x14ac:dyDescent="0.2">
      <c r="A138" s="15" t="s">
        <v>633</v>
      </c>
      <c r="B138" s="16">
        <v>1</v>
      </c>
      <c r="C138" s="16"/>
      <c r="D138" s="16">
        <v>1</v>
      </c>
    </row>
    <row r="139" spans="1:4" x14ac:dyDescent="0.2">
      <c r="A139" s="15" t="s">
        <v>630</v>
      </c>
      <c r="B139" s="16"/>
      <c r="C139" s="16">
        <v>1</v>
      </c>
      <c r="D139" s="16">
        <v>1</v>
      </c>
    </row>
    <row r="140" spans="1:4" x14ac:dyDescent="0.2">
      <c r="A140" s="15" t="s">
        <v>640</v>
      </c>
      <c r="B140" s="16">
        <v>1</v>
      </c>
      <c r="C140" s="16"/>
      <c r="D140" s="16">
        <v>1</v>
      </c>
    </row>
    <row r="141" spans="1:4" x14ac:dyDescent="0.2">
      <c r="A141" s="15" t="s">
        <v>612</v>
      </c>
      <c r="B141" s="16">
        <v>1</v>
      </c>
      <c r="C141" s="16"/>
      <c r="D141" s="16">
        <v>1</v>
      </c>
    </row>
    <row r="142" spans="1:4" x14ac:dyDescent="0.2">
      <c r="A142" s="15" t="s">
        <v>627</v>
      </c>
      <c r="B142" s="16">
        <v>1</v>
      </c>
      <c r="C142" s="16"/>
      <c r="D142" s="16">
        <v>1</v>
      </c>
    </row>
    <row r="143" spans="1:4" x14ac:dyDescent="0.2">
      <c r="A143" s="15" t="s">
        <v>637</v>
      </c>
      <c r="B143" s="16">
        <v>1</v>
      </c>
      <c r="C143" s="16"/>
      <c r="D143" s="16">
        <v>1</v>
      </c>
    </row>
    <row r="144" spans="1:4" x14ac:dyDescent="0.2">
      <c r="A144" s="15" t="s">
        <v>646</v>
      </c>
      <c r="B144" s="16">
        <v>1</v>
      </c>
      <c r="C144" s="16"/>
      <c r="D144" s="16">
        <v>1</v>
      </c>
    </row>
    <row r="145" spans="1:4" x14ac:dyDescent="0.2">
      <c r="A145" s="15" t="s">
        <v>643</v>
      </c>
      <c r="B145" s="16">
        <v>1</v>
      </c>
      <c r="C145" s="16"/>
      <c r="D145" s="16">
        <v>1</v>
      </c>
    </row>
    <row r="146" spans="1:4" x14ac:dyDescent="0.2">
      <c r="A146" s="15" t="s">
        <v>1452</v>
      </c>
      <c r="B146" s="16">
        <v>1</v>
      </c>
      <c r="C146" s="16"/>
      <c r="D146" s="16">
        <v>1</v>
      </c>
    </row>
    <row r="147" spans="1:4" x14ac:dyDescent="0.2">
      <c r="A147" s="14" t="s">
        <v>1460</v>
      </c>
      <c r="B147" s="16">
        <v>1</v>
      </c>
      <c r="C147" s="16">
        <v>1</v>
      </c>
      <c r="D147" s="16">
        <v>2</v>
      </c>
    </row>
    <row r="148" spans="1:4" x14ac:dyDescent="0.2">
      <c r="A148" s="15" t="s">
        <v>578</v>
      </c>
      <c r="B148" s="16"/>
      <c r="C148" s="16">
        <v>1</v>
      </c>
      <c r="D148" s="16">
        <v>1</v>
      </c>
    </row>
    <row r="149" spans="1:4" x14ac:dyDescent="0.2">
      <c r="A149" s="15" t="s">
        <v>572</v>
      </c>
      <c r="B149" s="16">
        <v>1</v>
      </c>
      <c r="C149" s="16"/>
      <c r="D149" s="16">
        <v>1</v>
      </c>
    </row>
    <row r="150" spans="1:4" x14ac:dyDescent="0.2">
      <c r="A150" s="13" t="s">
        <v>876</v>
      </c>
      <c r="B150" s="16">
        <v>2</v>
      </c>
      <c r="C150" s="16"/>
      <c r="D150" s="16">
        <v>2</v>
      </c>
    </row>
    <row r="151" spans="1:4" x14ac:dyDescent="0.2">
      <c r="A151" s="14" t="s">
        <v>875</v>
      </c>
      <c r="B151" s="16">
        <v>2</v>
      </c>
      <c r="C151" s="16"/>
      <c r="D151" s="16">
        <v>2</v>
      </c>
    </row>
    <row r="152" spans="1:4" x14ac:dyDescent="0.2">
      <c r="A152" s="15" t="s">
        <v>881</v>
      </c>
      <c r="B152" s="16">
        <v>1</v>
      </c>
      <c r="C152" s="16"/>
      <c r="D152" s="16">
        <v>1</v>
      </c>
    </row>
    <row r="153" spans="1:4" x14ac:dyDescent="0.2">
      <c r="A153" s="15" t="s">
        <v>874</v>
      </c>
      <c r="B153" s="16">
        <v>1</v>
      </c>
      <c r="C153" s="16"/>
      <c r="D153" s="16">
        <v>1</v>
      </c>
    </row>
    <row r="154" spans="1:4" x14ac:dyDescent="0.2">
      <c r="A154" s="13" t="s">
        <v>176</v>
      </c>
      <c r="B154" s="16">
        <v>7</v>
      </c>
      <c r="C154" s="16"/>
      <c r="D154" s="16">
        <v>7</v>
      </c>
    </row>
    <row r="155" spans="1:4" x14ac:dyDescent="0.2">
      <c r="A155" s="14" t="s">
        <v>488</v>
      </c>
      <c r="B155" s="16">
        <v>3</v>
      </c>
      <c r="C155" s="16"/>
      <c r="D155" s="16">
        <v>3</v>
      </c>
    </row>
    <row r="156" spans="1:4" x14ac:dyDescent="0.2">
      <c r="A156" s="15" t="s">
        <v>487</v>
      </c>
      <c r="B156" s="16">
        <v>1</v>
      </c>
      <c r="C156" s="16"/>
      <c r="D156" s="16">
        <v>1</v>
      </c>
    </row>
    <row r="157" spans="1:4" x14ac:dyDescent="0.2">
      <c r="A157" s="15" t="s">
        <v>495</v>
      </c>
      <c r="B157" s="16">
        <v>1</v>
      </c>
      <c r="C157" s="16"/>
      <c r="D157" s="16">
        <v>1</v>
      </c>
    </row>
    <row r="158" spans="1:4" x14ac:dyDescent="0.2">
      <c r="A158" s="15" t="s">
        <v>499</v>
      </c>
      <c r="B158" s="16">
        <v>1</v>
      </c>
      <c r="C158" s="16"/>
      <c r="D158" s="16">
        <v>1</v>
      </c>
    </row>
    <row r="159" spans="1:4" x14ac:dyDescent="0.2">
      <c r="A159" s="14" t="s">
        <v>175</v>
      </c>
      <c r="B159" s="16">
        <v>4</v>
      </c>
      <c r="C159" s="16"/>
      <c r="D159" s="16">
        <v>4</v>
      </c>
    </row>
    <row r="160" spans="1:4" x14ac:dyDescent="0.2">
      <c r="A160" s="15" t="s">
        <v>174</v>
      </c>
      <c r="B160" s="16">
        <v>1</v>
      </c>
      <c r="C160" s="16"/>
      <c r="D160" s="16">
        <v>1</v>
      </c>
    </row>
    <row r="161" spans="1:6" x14ac:dyDescent="0.2">
      <c r="A161" s="15" t="s">
        <v>185</v>
      </c>
      <c r="B161" s="16">
        <v>1</v>
      </c>
      <c r="C161" s="16"/>
      <c r="D161" s="16">
        <v>1</v>
      </c>
    </row>
    <row r="162" spans="1:6" x14ac:dyDescent="0.2">
      <c r="A162" s="15" t="s">
        <v>564</v>
      </c>
      <c r="B162" s="16">
        <v>1</v>
      </c>
      <c r="C162" s="16"/>
      <c r="D162" s="16">
        <v>1</v>
      </c>
    </row>
    <row r="163" spans="1:6" x14ac:dyDescent="0.2">
      <c r="A163" s="15" t="s">
        <v>309</v>
      </c>
      <c r="B163" s="16">
        <v>1</v>
      </c>
      <c r="C163" s="16"/>
      <c r="D163" s="16">
        <v>1</v>
      </c>
    </row>
    <row r="164" spans="1:6" x14ac:dyDescent="0.2">
      <c r="A164" s="13" t="s">
        <v>756</v>
      </c>
      <c r="B164" s="16">
        <v>4</v>
      </c>
      <c r="C164" s="16">
        <v>1</v>
      </c>
      <c r="D164" s="16">
        <v>5</v>
      </c>
    </row>
    <row r="165" spans="1:6" x14ac:dyDescent="0.2">
      <c r="A165" s="14" t="s">
        <v>1425</v>
      </c>
      <c r="B165" s="16">
        <v>2</v>
      </c>
      <c r="C165" s="16"/>
      <c r="D165" s="16">
        <v>2</v>
      </c>
    </row>
    <row r="166" spans="1:6" x14ac:dyDescent="0.2">
      <c r="A166" s="15" t="s">
        <v>755</v>
      </c>
      <c r="B166" s="16">
        <v>1</v>
      </c>
      <c r="C166" s="16"/>
      <c r="D166" s="16">
        <v>1</v>
      </c>
    </row>
    <row r="167" spans="1:6" x14ac:dyDescent="0.2">
      <c r="A167" s="15" t="s">
        <v>908</v>
      </c>
      <c r="B167" s="16">
        <v>1</v>
      </c>
      <c r="C167" s="16"/>
      <c r="D167" s="16">
        <v>1</v>
      </c>
    </row>
    <row r="168" spans="1:6" x14ac:dyDescent="0.2">
      <c r="A168" s="14" t="s">
        <v>1429</v>
      </c>
      <c r="B168" s="16">
        <v>2</v>
      </c>
      <c r="C168" s="16"/>
      <c r="D168" s="16">
        <v>2</v>
      </c>
    </row>
    <row r="169" spans="1:6" x14ac:dyDescent="0.2">
      <c r="A169" s="15" t="s">
        <v>769</v>
      </c>
      <c r="B169" s="16">
        <v>1</v>
      </c>
      <c r="C169" s="16"/>
      <c r="D169" s="16">
        <v>1</v>
      </c>
    </row>
    <row r="170" spans="1:6" x14ac:dyDescent="0.2">
      <c r="A170" s="15" t="s">
        <v>762</v>
      </c>
      <c r="B170" s="16">
        <v>1</v>
      </c>
      <c r="C170" s="16"/>
      <c r="D170" s="16">
        <v>1</v>
      </c>
    </row>
    <row r="171" spans="1:6" x14ac:dyDescent="0.2">
      <c r="A171" s="14" t="s">
        <v>1460</v>
      </c>
      <c r="B171" s="16"/>
      <c r="C171" s="16">
        <v>1</v>
      </c>
      <c r="D171" s="16">
        <v>1</v>
      </c>
    </row>
    <row r="172" spans="1:6" x14ac:dyDescent="0.2">
      <c r="A172" s="15" t="s">
        <v>765</v>
      </c>
      <c r="B172" s="16"/>
      <c r="C172" s="16">
        <v>1</v>
      </c>
      <c r="D172" s="16">
        <v>1</v>
      </c>
      <c r="E172" t="s">
        <v>1474</v>
      </c>
      <c r="F172" s="17" t="s">
        <v>1535</v>
      </c>
    </row>
    <row r="173" spans="1:6" x14ac:dyDescent="0.2">
      <c r="A173" s="13" t="s">
        <v>783</v>
      </c>
      <c r="B173" s="16">
        <v>6</v>
      </c>
      <c r="C173" s="16"/>
      <c r="D173" s="16">
        <v>6</v>
      </c>
    </row>
    <row r="174" spans="1:6" x14ac:dyDescent="0.2">
      <c r="A174" s="14" t="s">
        <v>782</v>
      </c>
      <c r="B174" s="16">
        <v>2</v>
      </c>
      <c r="C174" s="16"/>
      <c r="D174" s="16">
        <v>2</v>
      </c>
    </row>
    <row r="175" spans="1:6" x14ac:dyDescent="0.2">
      <c r="A175" s="15" t="s">
        <v>781</v>
      </c>
      <c r="B175" s="16">
        <v>1</v>
      </c>
      <c r="C175" s="16"/>
      <c r="D175" s="16">
        <v>1</v>
      </c>
    </row>
    <row r="176" spans="1:6" x14ac:dyDescent="0.2">
      <c r="A176" s="15" t="s">
        <v>793</v>
      </c>
      <c r="B176" s="16">
        <v>1</v>
      </c>
      <c r="C176" s="16"/>
      <c r="D176" s="16">
        <v>1</v>
      </c>
    </row>
    <row r="177" spans="1:4" x14ac:dyDescent="0.2">
      <c r="A177" s="14" t="s">
        <v>798</v>
      </c>
      <c r="B177" s="16">
        <v>4</v>
      </c>
      <c r="C177" s="16"/>
      <c r="D177" s="16">
        <v>4</v>
      </c>
    </row>
    <row r="178" spans="1:4" x14ac:dyDescent="0.2">
      <c r="A178" s="15" t="s">
        <v>809</v>
      </c>
      <c r="B178" s="16">
        <v>1</v>
      </c>
      <c r="C178" s="16"/>
      <c r="D178" s="16">
        <v>1</v>
      </c>
    </row>
    <row r="179" spans="1:4" x14ac:dyDescent="0.2">
      <c r="A179" s="15" t="s">
        <v>805</v>
      </c>
      <c r="B179" s="16">
        <v>1</v>
      </c>
      <c r="C179" s="16"/>
      <c r="D179" s="16">
        <v>1</v>
      </c>
    </row>
    <row r="180" spans="1:4" x14ac:dyDescent="0.2">
      <c r="A180" s="15" t="s">
        <v>797</v>
      </c>
      <c r="B180" s="16">
        <v>1</v>
      </c>
      <c r="C180" s="16"/>
      <c r="D180" s="16">
        <v>1</v>
      </c>
    </row>
    <row r="181" spans="1:4" x14ac:dyDescent="0.2">
      <c r="A181" s="15" t="s">
        <v>807</v>
      </c>
      <c r="B181" s="16">
        <v>1</v>
      </c>
      <c r="C181" s="16"/>
      <c r="D181" s="16">
        <v>1</v>
      </c>
    </row>
    <row r="182" spans="1:4" x14ac:dyDescent="0.2">
      <c r="A182" s="13" t="s">
        <v>720</v>
      </c>
      <c r="B182" s="16">
        <v>6</v>
      </c>
      <c r="C182" s="16">
        <v>1</v>
      </c>
      <c r="D182" s="16">
        <v>7</v>
      </c>
    </row>
    <row r="183" spans="1:4" x14ac:dyDescent="0.2">
      <c r="A183" s="14" t="s">
        <v>1312</v>
      </c>
      <c r="B183" s="16">
        <v>1</v>
      </c>
      <c r="C183" s="16"/>
      <c r="D183" s="16">
        <v>1</v>
      </c>
    </row>
    <row r="184" spans="1:4" x14ac:dyDescent="0.2">
      <c r="A184" s="15" t="s">
        <v>1296</v>
      </c>
      <c r="B184" s="16">
        <v>1</v>
      </c>
      <c r="C184" s="16"/>
      <c r="D184" s="16">
        <v>1</v>
      </c>
    </row>
    <row r="185" spans="1:4" x14ac:dyDescent="0.2">
      <c r="A185" s="14" t="s">
        <v>727</v>
      </c>
      <c r="B185" s="16">
        <v>2</v>
      </c>
      <c r="C185" s="16"/>
      <c r="D185" s="16">
        <v>2</v>
      </c>
    </row>
    <row r="186" spans="1:4" x14ac:dyDescent="0.2">
      <c r="A186" s="15" t="s">
        <v>726</v>
      </c>
      <c r="B186" s="16">
        <v>1</v>
      </c>
      <c r="C186" s="16"/>
      <c r="D186" s="16">
        <v>1</v>
      </c>
    </row>
    <row r="187" spans="1:4" x14ac:dyDescent="0.2">
      <c r="A187" s="15" t="s">
        <v>732</v>
      </c>
      <c r="B187" s="16">
        <v>1</v>
      </c>
      <c r="C187" s="16"/>
      <c r="D187" s="16">
        <v>1</v>
      </c>
    </row>
    <row r="188" spans="1:4" x14ac:dyDescent="0.2">
      <c r="A188" s="14" t="s">
        <v>736</v>
      </c>
      <c r="B188" s="16">
        <v>3</v>
      </c>
      <c r="C188" s="16"/>
      <c r="D188" s="16">
        <v>3</v>
      </c>
    </row>
    <row r="189" spans="1:4" x14ac:dyDescent="0.2">
      <c r="A189" s="15" t="s">
        <v>735</v>
      </c>
      <c r="B189" s="16">
        <v>1</v>
      </c>
      <c r="C189" s="16"/>
      <c r="D189" s="16">
        <v>1</v>
      </c>
    </row>
    <row r="190" spans="1:4" x14ac:dyDescent="0.2">
      <c r="A190" s="15" t="s">
        <v>742</v>
      </c>
      <c r="B190" s="16">
        <v>1</v>
      </c>
      <c r="C190" s="16"/>
      <c r="D190" s="16">
        <v>1</v>
      </c>
    </row>
    <row r="191" spans="1:4" x14ac:dyDescent="0.2">
      <c r="A191" s="15" t="s">
        <v>745</v>
      </c>
      <c r="B191" s="16">
        <v>1</v>
      </c>
      <c r="C191" s="16"/>
      <c r="D191" s="16">
        <v>1</v>
      </c>
    </row>
    <row r="192" spans="1:4" x14ac:dyDescent="0.2">
      <c r="A192" s="14" t="s">
        <v>1460</v>
      </c>
      <c r="B192" s="16"/>
      <c r="C192" s="16">
        <v>1</v>
      </c>
      <c r="D192" s="16">
        <v>1</v>
      </c>
    </row>
    <row r="193" spans="1:4" x14ac:dyDescent="0.2">
      <c r="A193" s="15" t="s">
        <v>719</v>
      </c>
      <c r="B193" s="16"/>
      <c r="C193" s="16">
        <v>1</v>
      </c>
      <c r="D193" s="16">
        <v>1</v>
      </c>
    </row>
    <row r="194" spans="1:4" x14ac:dyDescent="0.2">
      <c r="A194" s="13" t="s">
        <v>189</v>
      </c>
      <c r="B194" s="16">
        <v>22</v>
      </c>
      <c r="C194" s="16">
        <v>10</v>
      </c>
      <c r="D194" s="16">
        <v>32</v>
      </c>
    </row>
    <row r="195" spans="1:4" x14ac:dyDescent="0.2">
      <c r="A195" s="14" t="s">
        <v>214</v>
      </c>
      <c r="B195" s="16">
        <v>5</v>
      </c>
      <c r="C195" s="16">
        <v>2</v>
      </c>
      <c r="D195" s="16">
        <v>7</v>
      </c>
    </row>
    <row r="196" spans="1:4" x14ac:dyDescent="0.2">
      <c r="A196" s="15" t="s">
        <v>222</v>
      </c>
      <c r="B196" s="16"/>
      <c r="C196" s="16">
        <v>1</v>
      </c>
      <c r="D196" s="16">
        <v>1</v>
      </c>
    </row>
    <row r="197" spans="1:4" x14ac:dyDescent="0.2">
      <c r="A197" s="15" t="s">
        <v>228</v>
      </c>
      <c r="B197" s="16">
        <v>1</v>
      </c>
      <c r="C197" s="16"/>
      <c r="D197" s="16">
        <v>1</v>
      </c>
    </row>
    <row r="198" spans="1:4" x14ac:dyDescent="0.2">
      <c r="A198" s="15" t="s">
        <v>231</v>
      </c>
      <c r="B198" s="16">
        <v>1</v>
      </c>
      <c r="C198" s="16"/>
      <c r="D198" s="16">
        <v>1</v>
      </c>
    </row>
    <row r="199" spans="1:4" x14ac:dyDescent="0.2">
      <c r="A199" s="15" t="s">
        <v>1382</v>
      </c>
      <c r="B199" s="16">
        <v>1</v>
      </c>
      <c r="C199" s="16"/>
      <c r="D199" s="16">
        <v>1</v>
      </c>
    </row>
    <row r="200" spans="1:4" x14ac:dyDescent="0.2">
      <c r="A200" s="15" t="s">
        <v>213</v>
      </c>
      <c r="B200" s="16">
        <v>1</v>
      </c>
      <c r="C200" s="16"/>
      <c r="D200" s="16">
        <v>1</v>
      </c>
    </row>
    <row r="201" spans="1:4" x14ac:dyDescent="0.2">
      <c r="A201" s="15" t="s">
        <v>224</v>
      </c>
      <c r="B201" s="16"/>
      <c r="C201" s="16">
        <v>1</v>
      </c>
      <c r="D201" s="16">
        <v>1</v>
      </c>
    </row>
    <row r="202" spans="1:4" x14ac:dyDescent="0.2">
      <c r="A202" s="15" t="s">
        <v>219</v>
      </c>
      <c r="B202" s="16">
        <v>1</v>
      </c>
      <c r="C202" s="16"/>
      <c r="D202" s="16">
        <v>1</v>
      </c>
    </row>
    <row r="203" spans="1:4" x14ac:dyDescent="0.2">
      <c r="A203" s="14" t="s">
        <v>236</v>
      </c>
      <c r="B203" s="16"/>
      <c r="C203" s="16">
        <v>1</v>
      </c>
      <c r="D203" s="16">
        <v>1</v>
      </c>
    </row>
    <row r="204" spans="1:4" x14ac:dyDescent="0.2">
      <c r="A204" s="15" t="s">
        <v>250</v>
      </c>
      <c r="B204" s="16"/>
      <c r="C204" s="16">
        <v>1</v>
      </c>
      <c r="D204" s="16">
        <v>1</v>
      </c>
    </row>
    <row r="205" spans="1:4" x14ac:dyDescent="0.2">
      <c r="A205" s="14" t="s">
        <v>253</v>
      </c>
      <c r="B205" s="16">
        <v>4</v>
      </c>
      <c r="C205" s="16">
        <v>1</v>
      </c>
      <c r="D205" s="16">
        <v>5</v>
      </c>
    </row>
    <row r="206" spans="1:4" x14ac:dyDescent="0.2">
      <c r="A206" s="15" t="s">
        <v>252</v>
      </c>
      <c r="B206" s="16">
        <v>1</v>
      </c>
      <c r="C206" s="16"/>
      <c r="D206" s="16">
        <v>1</v>
      </c>
    </row>
    <row r="207" spans="1:4" x14ac:dyDescent="0.2">
      <c r="A207" s="15" t="s">
        <v>258</v>
      </c>
      <c r="B207" s="16">
        <v>1</v>
      </c>
      <c r="C207" s="16"/>
      <c r="D207" s="16">
        <v>1</v>
      </c>
    </row>
    <row r="208" spans="1:4" x14ac:dyDescent="0.2">
      <c r="A208" s="15" t="s">
        <v>261</v>
      </c>
      <c r="B208" s="16">
        <v>1</v>
      </c>
      <c r="C208" s="16"/>
      <c r="D208" s="16">
        <v>1</v>
      </c>
    </row>
    <row r="209" spans="1:4" x14ac:dyDescent="0.2">
      <c r="A209" s="15" t="s">
        <v>264</v>
      </c>
      <c r="B209" s="16"/>
      <c r="C209" s="16">
        <v>1</v>
      </c>
      <c r="D209" s="16">
        <v>1</v>
      </c>
    </row>
    <row r="210" spans="1:4" x14ac:dyDescent="0.2">
      <c r="A210" s="15" t="s">
        <v>266</v>
      </c>
      <c r="B210" s="16">
        <v>1</v>
      </c>
      <c r="C210" s="16"/>
      <c r="D210" s="16">
        <v>1</v>
      </c>
    </row>
    <row r="211" spans="1:4" x14ac:dyDescent="0.2">
      <c r="A211" s="14" t="s">
        <v>281</v>
      </c>
      <c r="B211" s="16">
        <v>3</v>
      </c>
      <c r="C211" s="16"/>
      <c r="D211" s="16">
        <v>3</v>
      </c>
    </row>
    <row r="212" spans="1:4" x14ac:dyDescent="0.2">
      <c r="A212" s="15" t="s">
        <v>280</v>
      </c>
      <c r="B212" s="16">
        <v>1</v>
      </c>
      <c r="C212" s="16"/>
      <c r="D212" s="16">
        <v>1</v>
      </c>
    </row>
    <row r="213" spans="1:4" x14ac:dyDescent="0.2">
      <c r="A213" s="15" t="s">
        <v>285</v>
      </c>
      <c r="B213" s="16">
        <v>1</v>
      </c>
      <c r="C213" s="16"/>
      <c r="D213" s="16">
        <v>1</v>
      </c>
    </row>
    <row r="214" spans="1:4" x14ac:dyDescent="0.2">
      <c r="A214" s="15" t="s">
        <v>288</v>
      </c>
      <c r="B214" s="16">
        <v>1</v>
      </c>
      <c r="C214" s="16"/>
      <c r="D214" s="16">
        <v>1</v>
      </c>
    </row>
    <row r="215" spans="1:4" x14ac:dyDescent="0.2">
      <c r="A215" s="14" t="s">
        <v>270</v>
      </c>
      <c r="B215" s="16">
        <v>3</v>
      </c>
      <c r="C215" s="16"/>
      <c r="D215" s="16">
        <v>3</v>
      </c>
    </row>
    <row r="216" spans="1:4" x14ac:dyDescent="0.2">
      <c r="A216" s="15" t="s">
        <v>269</v>
      </c>
      <c r="B216" s="16">
        <v>1</v>
      </c>
      <c r="C216" s="16"/>
      <c r="D216" s="16">
        <v>1</v>
      </c>
    </row>
    <row r="217" spans="1:4" x14ac:dyDescent="0.2">
      <c r="A217" s="15" t="s">
        <v>274</v>
      </c>
      <c r="B217" s="16">
        <v>1</v>
      </c>
      <c r="C217" s="16"/>
      <c r="D217" s="16">
        <v>1</v>
      </c>
    </row>
    <row r="218" spans="1:4" x14ac:dyDescent="0.2">
      <c r="A218" s="15" t="s">
        <v>277</v>
      </c>
      <c r="B218" s="16">
        <v>1</v>
      </c>
      <c r="C218" s="16"/>
      <c r="D218" s="16">
        <v>1</v>
      </c>
    </row>
    <row r="219" spans="1:4" x14ac:dyDescent="0.2">
      <c r="A219" s="14" t="s">
        <v>292</v>
      </c>
      <c r="B219" s="16">
        <v>3</v>
      </c>
      <c r="C219" s="16"/>
      <c r="D219" s="16">
        <v>3</v>
      </c>
    </row>
    <row r="220" spans="1:4" x14ac:dyDescent="0.2">
      <c r="A220" s="15" t="s">
        <v>300</v>
      </c>
      <c r="B220" s="16">
        <v>1</v>
      </c>
      <c r="C220" s="16"/>
      <c r="D220" s="16">
        <v>1</v>
      </c>
    </row>
    <row r="221" spans="1:4" x14ac:dyDescent="0.2">
      <c r="A221" s="15" t="s">
        <v>297</v>
      </c>
      <c r="B221" s="16">
        <v>1</v>
      </c>
      <c r="C221" s="16"/>
      <c r="D221" s="16">
        <v>1</v>
      </c>
    </row>
    <row r="222" spans="1:4" x14ac:dyDescent="0.2">
      <c r="A222" s="15" t="s">
        <v>291</v>
      </c>
      <c r="B222" s="16">
        <v>1</v>
      </c>
      <c r="C222" s="16"/>
      <c r="D222" s="16">
        <v>1</v>
      </c>
    </row>
    <row r="223" spans="1:4" x14ac:dyDescent="0.2">
      <c r="A223" s="14" t="s">
        <v>195</v>
      </c>
      <c r="B223" s="16">
        <v>2</v>
      </c>
      <c r="C223" s="16">
        <v>2</v>
      </c>
      <c r="D223" s="16">
        <v>4</v>
      </c>
    </row>
    <row r="224" spans="1:4" x14ac:dyDescent="0.2">
      <c r="A224" s="15" t="s">
        <v>208</v>
      </c>
      <c r="B224" s="16">
        <v>1</v>
      </c>
      <c r="C224" s="16"/>
      <c r="D224" s="16">
        <v>1</v>
      </c>
    </row>
    <row r="225" spans="1:7" x14ac:dyDescent="0.2">
      <c r="A225" s="15" t="s">
        <v>194</v>
      </c>
      <c r="B225" s="16">
        <v>1</v>
      </c>
      <c r="C225" s="16">
        <v>2</v>
      </c>
      <c r="D225" s="16">
        <v>3</v>
      </c>
    </row>
    <row r="226" spans="1:7" x14ac:dyDescent="0.2">
      <c r="A226" s="14" t="s">
        <v>304</v>
      </c>
      <c r="B226" s="16"/>
      <c r="C226" s="16">
        <v>1</v>
      </c>
      <c r="D226" s="16">
        <v>1</v>
      </c>
    </row>
    <row r="227" spans="1:7" x14ac:dyDescent="0.2">
      <c r="A227" s="15" t="s">
        <v>303</v>
      </c>
      <c r="B227" s="16"/>
      <c r="C227" s="16">
        <v>1</v>
      </c>
      <c r="D227" s="16">
        <v>1</v>
      </c>
    </row>
    <row r="228" spans="1:7" x14ac:dyDescent="0.2">
      <c r="A228" s="14" t="s">
        <v>1460</v>
      </c>
      <c r="B228" s="16">
        <v>2</v>
      </c>
      <c r="C228" s="16">
        <v>3</v>
      </c>
      <c r="D228" s="16">
        <v>5</v>
      </c>
    </row>
    <row r="229" spans="1:7" x14ac:dyDescent="0.2">
      <c r="A229" s="15" t="s">
        <v>201</v>
      </c>
      <c r="B229" s="16">
        <v>1</v>
      </c>
      <c r="C229" s="16"/>
      <c r="D229" s="16">
        <v>1</v>
      </c>
    </row>
    <row r="230" spans="1:7" x14ac:dyDescent="0.2">
      <c r="A230" s="15" t="s">
        <v>307</v>
      </c>
      <c r="B230" s="16">
        <v>1</v>
      </c>
      <c r="C230" s="16"/>
      <c r="D230" s="16">
        <v>1</v>
      </c>
      <c r="E230" t="s">
        <v>1467</v>
      </c>
      <c r="F230" s="17" t="s">
        <v>1536</v>
      </c>
      <c r="G230" s="19" t="s">
        <v>1566</v>
      </c>
    </row>
    <row r="231" spans="1:7" x14ac:dyDescent="0.2">
      <c r="A231" s="15" t="s">
        <v>211</v>
      </c>
      <c r="B231" s="16"/>
      <c r="C231" s="16">
        <v>1</v>
      </c>
      <c r="D231" s="16">
        <v>1</v>
      </c>
    </row>
    <row r="232" spans="1:7" x14ac:dyDescent="0.2">
      <c r="A232" s="15" t="s">
        <v>205</v>
      </c>
      <c r="B232" s="16"/>
      <c r="C232" s="16">
        <v>1</v>
      </c>
      <c r="D232" s="16">
        <v>1</v>
      </c>
    </row>
    <row r="233" spans="1:7" x14ac:dyDescent="0.2">
      <c r="A233" s="15" t="s">
        <v>188</v>
      </c>
      <c r="B233" s="16"/>
      <c r="C233" s="16">
        <v>1</v>
      </c>
      <c r="D233" s="16">
        <v>1</v>
      </c>
      <c r="E233" t="s">
        <v>1468</v>
      </c>
      <c r="F233" s="17" t="s">
        <v>1547</v>
      </c>
      <c r="G233" s="19" t="s">
        <v>1566</v>
      </c>
    </row>
    <row r="234" spans="1:7" x14ac:dyDescent="0.2">
      <c r="A234" s="13" t="s">
        <v>680</v>
      </c>
      <c r="B234" s="16">
        <v>12</v>
      </c>
      <c r="C234" s="16">
        <v>1</v>
      </c>
      <c r="D234" s="16">
        <v>13</v>
      </c>
    </row>
    <row r="235" spans="1:7" x14ac:dyDescent="0.2">
      <c r="A235" s="14" t="s">
        <v>236</v>
      </c>
      <c r="B235" s="16">
        <v>4</v>
      </c>
      <c r="C235" s="16"/>
      <c r="D235" s="16">
        <v>4</v>
      </c>
    </row>
    <row r="236" spans="1:7" x14ac:dyDescent="0.2">
      <c r="A236" s="15" t="s">
        <v>235</v>
      </c>
      <c r="B236" s="16">
        <v>1</v>
      </c>
      <c r="C236" s="16"/>
      <c r="D236" s="16">
        <v>1</v>
      </c>
    </row>
    <row r="237" spans="1:7" x14ac:dyDescent="0.2">
      <c r="A237" s="15" t="s">
        <v>241</v>
      </c>
      <c r="B237" s="16">
        <v>1</v>
      </c>
      <c r="C237" s="16"/>
      <c r="D237" s="16">
        <v>1</v>
      </c>
    </row>
    <row r="238" spans="1:7" x14ac:dyDescent="0.2">
      <c r="A238" s="15" t="s">
        <v>244</v>
      </c>
      <c r="B238" s="16">
        <v>1</v>
      </c>
      <c r="C238" s="16"/>
      <c r="D238" s="16">
        <v>1</v>
      </c>
    </row>
    <row r="239" spans="1:7" x14ac:dyDescent="0.2">
      <c r="A239" s="15" t="s">
        <v>247</v>
      </c>
      <c r="B239" s="16">
        <v>1</v>
      </c>
      <c r="C239" s="16"/>
      <c r="D239" s="16">
        <v>1</v>
      </c>
    </row>
    <row r="240" spans="1:7" x14ac:dyDescent="0.2">
      <c r="A240" s="14" t="s">
        <v>679</v>
      </c>
      <c r="B240" s="16">
        <v>5</v>
      </c>
      <c r="C240" s="16">
        <v>1</v>
      </c>
      <c r="D240" s="16">
        <v>6</v>
      </c>
    </row>
    <row r="241" spans="1:4" x14ac:dyDescent="0.2">
      <c r="A241" s="15" t="s">
        <v>696</v>
      </c>
      <c r="B241" s="16">
        <v>1</v>
      </c>
      <c r="C241" s="16"/>
      <c r="D241" s="16">
        <v>1</v>
      </c>
    </row>
    <row r="242" spans="1:4" x14ac:dyDescent="0.2">
      <c r="A242" s="15" t="s">
        <v>690</v>
      </c>
      <c r="B242" s="16">
        <v>1</v>
      </c>
      <c r="C242" s="16"/>
      <c r="D242" s="16">
        <v>1</v>
      </c>
    </row>
    <row r="243" spans="1:4" x14ac:dyDescent="0.2">
      <c r="A243" s="15" t="s">
        <v>678</v>
      </c>
      <c r="B243" s="16">
        <v>1</v>
      </c>
      <c r="C243" s="16"/>
      <c r="D243" s="16">
        <v>1</v>
      </c>
    </row>
    <row r="244" spans="1:4" x14ac:dyDescent="0.2">
      <c r="A244" s="15" t="s">
        <v>702</v>
      </c>
      <c r="B244" s="16"/>
      <c r="C244" s="16">
        <v>1</v>
      </c>
      <c r="D244" s="16">
        <v>1</v>
      </c>
    </row>
    <row r="245" spans="1:4" x14ac:dyDescent="0.2">
      <c r="A245" s="15" t="s">
        <v>693</v>
      </c>
      <c r="B245" s="16">
        <v>1</v>
      </c>
      <c r="C245" s="16"/>
      <c r="D245" s="16">
        <v>1</v>
      </c>
    </row>
    <row r="246" spans="1:4" x14ac:dyDescent="0.2">
      <c r="A246" s="15" t="s">
        <v>699</v>
      </c>
      <c r="B246" s="16">
        <v>1</v>
      </c>
      <c r="C246" s="16"/>
      <c r="D246" s="16">
        <v>1</v>
      </c>
    </row>
    <row r="247" spans="1:4" x14ac:dyDescent="0.2">
      <c r="A247" s="14" t="s">
        <v>706</v>
      </c>
      <c r="B247" s="16">
        <v>3</v>
      </c>
      <c r="C247" s="16"/>
      <c r="D247" s="16">
        <v>3</v>
      </c>
    </row>
    <row r="248" spans="1:4" x14ac:dyDescent="0.2">
      <c r="A248" s="15" t="s">
        <v>705</v>
      </c>
      <c r="B248" s="16">
        <v>1</v>
      </c>
      <c r="C248" s="16"/>
      <c r="D248" s="16">
        <v>1</v>
      </c>
    </row>
    <row r="249" spans="1:4" x14ac:dyDescent="0.2">
      <c r="A249" s="15" t="s">
        <v>713</v>
      </c>
      <c r="B249" s="16">
        <v>1</v>
      </c>
      <c r="C249" s="16"/>
      <c r="D249" s="16">
        <v>1</v>
      </c>
    </row>
    <row r="250" spans="1:4" x14ac:dyDescent="0.2">
      <c r="A250" s="15" t="s">
        <v>716</v>
      </c>
      <c r="B250" s="16">
        <v>1</v>
      </c>
      <c r="C250" s="16"/>
      <c r="D250" s="16">
        <v>1</v>
      </c>
    </row>
    <row r="251" spans="1:4" x14ac:dyDescent="0.2">
      <c r="A251" s="13" t="s">
        <v>1073</v>
      </c>
      <c r="B251" s="16">
        <v>10</v>
      </c>
      <c r="C251" s="16">
        <v>10</v>
      </c>
      <c r="D251" s="16">
        <v>20</v>
      </c>
    </row>
    <row r="252" spans="1:4" x14ac:dyDescent="0.2">
      <c r="A252" s="14" t="s">
        <v>1094</v>
      </c>
      <c r="B252" s="16">
        <v>3</v>
      </c>
      <c r="C252" s="16">
        <v>1</v>
      </c>
      <c r="D252" s="16">
        <v>4</v>
      </c>
    </row>
    <row r="253" spans="1:4" x14ac:dyDescent="0.2">
      <c r="A253" s="15" t="s">
        <v>1100</v>
      </c>
      <c r="B253" s="16">
        <v>1</v>
      </c>
      <c r="C253" s="16"/>
      <c r="D253" s="16">
        <v>1</v>
      </c>
    </row>
    <row r="254" spans="1:4" x14ac:dyDescent="0.2">
      <c r="A254" s="15" t="s">
        <v>1103</v>
      </c>
      <c r="B254" s="16"/>
      <c r="C254" s="16">
        <v>1</v>
      </c>
      <c r="D254" s="16">
        <v>1</v>
      </c>
    </row>
    <row r="255" spans="1:4" x14ac:dyDescent="0.2">
      <c r="A255" s="15" t="s">
        <v>1106</v>
      </c>
      <c r="B255" s="16">
        <v>1</v>
      </c>
      <c r="C255" s="16"/>
      <c r="D255" s="16">
        <v>1</v>
      </c>
    </row>
    <row r="256" spans="1:4" x14ac:dyDescent="0.2">
      <c r="A256" s="15" t="s">
        <v>1093</v>
      </c>
      <c r="B256" s="16">
        <v>1</v>
      </c>
      <c r="C256" s="16"/>
      <c r="D256" s="16">
        <v>1</v>
      </c>
    </row>
    <row r="257" spans="1:4" x14ac:dyDescent="0.2">
      <c r="A257" s="14" t="s">
        <v>1119</v>
      </c>
      <c r="B257" s="16">
        <v>1</v>
      </c>
      <c r="C257" s="16">
        <v>6</v>
      </c>
      <c r="D257" s="16">
        <v>7</v>
      </c>
    </row>
    <row r="258" spans="1:4" x14ac:dyDescent="0.2">
      <c r="A258" s="15" t="s">
        <v>1118</v>
      </c>
      <c r="B258" s="16"/>
      <c r="C258" s="16">
        <v>1</v>
      </c>
      <c r="D258" s="16">
        <v>1</v>
      </c>
    </row>
    <row r="259" spans="1:4" x14ac:dyDescent="0.2">
      <c r="A259" s="15" t="s">
        <v>1124</v>
      </c>
      <c r="B259" s="16"/>
      <c r="C259" s="16">
        <v>1</v>
      </c>
      <c r="D259" s="16">
        <v>1</v>
      </c>
    </row>
    <row r="260" spans="1:4" x14ac:dyDescent="0.2">
      <c r="A260" s="15" t="s">
        <v>1144</v>
      </c>
      <c r="B260" s="16">
        <v>1</v>
      </c>
      <c r="C260" s="16"/>
      <c r="D260" s="16">
        <v>1</v>
      </c>
    </row>
    <row r="261" spans="1:4" x14ac:dyDescent="0.2">
      <c r="A261" s="15" t="s">
        <v>1135</v>
      </c>
      <c r="B261" s="16"/>
      <c r="C261" s="16">
        <v>1</v>
      </c>
      <c r="D261" s="16">
        <v>1</v>
      </c>
    </row>
    <row r="262" spans="1:4" x14ac:dyDescent="0.2">
      <c r="A262" s="15" t="s">
        <v>1138</v>
      </c>
      <c r="B262" s="16"/>
      <c r="C262" s="16">
        <v>1</v>
      </c>
      <c r="D262" s="16">
        <v>1</v>
      </c>
    </row>
    <row r="263" spans="1:4" x14ac:dyDescent="0.2">
      <c r="A263" s="15" t="s">
        <v>1141</v>
      </c>
      <c r="B263" s="16"/>
      <c r="C263" s="16">
        <v>1</v>
      </c>
      <c r="D263" s="16">
        <v>1</v>
      </c>
    </row>
    <row r="264" spans="1:4" x14ac:dyDescent="0.2">
      <c r="A264" s="15" t="s">
        <v>1127</v>
      </c>
      <c r="B264" s="16"/>
      <c r="C264" s="16">
        <v>1</v>
      </c>
      <c r="D264" s="16">
        <v>1</v>
      </c>
    </row>
    <row r="265" spans="1:4" x14ac:dyDescent="0.2">
      <c r="A265" s="14" t="s">
        <v>1085</v>
      </c>
      <c r="B265" s="16">
        <v>4</v>
      </c>
      <c r="C265" s="16"/>
      <c r="D265" s="16">
        <v>4</v>
      </c>
    </row>
    <row r="266" spans="1:4" x14ac:dyDescent="0.2">
      <c r="A266" s="15" t="s">
        <v>1131</v>
      </c>
      <c r="B266" s="16">
        <v>1</v>
      </c>
      <c r="C266" s="16"/>
      <c r="D266" s="16">
        <v>1</v>
      </c>
    </row>
    <row r="267" spans="1:4" x14ac:dyDescent="0.2">
      <c r="A267" s="15" t="s">
        <v>1084</v>
      </c>
      <c r="B267" s="16">
        <v>1</v>
      </c>
      <c r="C267" s="16"/>
      <c r="D267" s="16">
        <v>1</v>
      </c>
    </row>
    <row r="268" spans="1:4" x14ac:dyDescent="0.2">
      <c r="A268" s="15" t="s">
        <v>1080</v>
      </c>
      <c r="B268" s="16">
        <v>1</v>
      </c>
      <c r="C268" s="16"/>
      <c r="D268" s="16">
        <v>1</v>
      </c>
    </row>
    <row r="269" spans="1:4" x14ac:dyDescent="0.2">
      <c r="A269" s="15" t="s">
        <v>1090</v>
      </c>
      <c r="B269" s="16">
        <v>1</v>
      </c>
      <c r="C269" s="16"/>
      <c r="D269" s="16">
        <v>1</v>
      </c>
    </row>
    <row r="270" spans="1:4" x14ac:dyDescent="0.2">
      <c r="A270" s="14" t="s">
        <v>1110</v>
      </c>
      <c r="B270" s="16"/>
      <c r="C270" s="16">
        <v>2</v>
      </c>
      <c r="D270" s="16">
        <v>2</v>
      </c>
    </row>
    <row r="271" spans="1:4" x14ac:dyDescent="0.2">
      <c r="A271" s="15" t="s">
        <v>1114</v>
      </c>
      <c r="B271" s="16"/>
      <c r="C271" s="16">
        <v>1</v>
      </c>
      <c r="D271" s="16">
        <v>1</v>
      </c>
    </row>
    <row r="272" spans="1:4" x14ac:dyDescent="0.2">
      <c r="A272" s="15" t="s">
        <v>1109</v>
      </c>
      <c r="B272" s="16"/>
      <c r="C272" s="16">
        <v>1</v>
      </c>
      <c r="D272" s="16">
        <v>1</v>
      </c>
    </row>
    <row r="273" spans="1:6" x14ac:dyDescent="0.2">
      <c r="A273" s="14" t="s">
        <v>1147</v>
      </c>
      <c r="B273" s="16">
        <v>2</v>
      </c>
      <c r="C273" s="16"/>
      <c r="D273" s="16">
        <v>2</v>
      </c>
    </row>
    <row r="274" spans="1:6" x14ac:dyDescent="0.2">
      <c r="A274" s="15" t="s">
        <v>1153</v>
      </c>
      <c r="B274" s="16">
        <v>1</v>
      </c>
      <c r="C274" s="16"/>
      <c r="D274" s="16">
        <v>1</v>
      </c>
    </row>
    <row r="275" spans="1:6" x14ac:dyDescent="0.2">
      <c r="A275" s="15" t="s">
        <v>1146</v>
      </c>
      <c r="B275" s="16">
        <v>1</v>
      </c>
      <c r="C275" s="16"/>
      <c r="D275" s="16">
        <v>1</v>
      </c>
    </row>
    <row r="276" spans="1:6" x14ac:dyDescent="0.2">
      <c r="A276" s="14" t="s">
        <v>1460</v>
      </c>
      <c r="B276" s="16"/>
      <c r="C276" s="16">
        <v>1</v>
      </c>
      <c r="D276" s="16">
        <v>1</v>
      </c>
    </row>
    <row r="277" spans="1:6" x14ac:dyDescent="0.2">
      <c r="A277" s="15" t="s">
        <v>1072</v>
      </c>
      <c r="B277" s="16"/>
      <c r="C277" s="16">
        <v>1</v>
      </c>
      <c r="D277" s="16">
        <v>1</v>
      </c>
      <c r="E277" t="s">
        <v>1469</v>
      </c>
      <c r="F277" s="17" t="s">
        <v>1545</v>
      </c>
    </row>
    <row r="278" spans="1:6" x14ac:dyDescent="0.2">
      <c r="A278" s="13" t="s">
        <v>314</v>
      </c>
      <c r="B278" s="16">
        <v>27</v>
      </c>
      <c r="C278" s="16">
        <v>14</v>
      </c>
      <c r="D278" s="16">
        <v>41</v>
      </c>
    </row>
    <row r="279" spans="1:6" x14ac:dyDescent="0.2">
      <c r="A279" s="14" t="s">
        <v>773</v>
      </c>
      <c r="B279" s="16">
        <v>3</v>
      </c>
      <c r="C279" s="16"/>
      <c r="D279" s="16">
        <v>3</v>
      </c>
    </row>
    <row r="280" spans="1:6" x14ac:dyDescent="0.2">
      <c r="A280" s="15" t="s">
        <v>772</v>
      </c>
      <c r="B280" s="16">
        <v>1</v>
      </c>
      <c r="C280" s="16"/>
      <c r="D280" s="16">
        <v>1</v>
      </c>
    </row>
    <row r="281" spans="1:6" x14ac:dyDescent="0.2">
      <c r="A281" s="15" t="s">
        <v>779</v>
      </c>
      <c r="B281" s="16">
        <v>1</v>
      </c>
      <c r="C281" s="16"/>
      <c r="D281" s="16">
        <v>1</v>
      </c>
    </row>
    <row r="282" spans="1:6" x14ac:dyDescent="0.2">
      <c r="A282" s="15" t="s">
        <v>1371</v>
      </c>
      <c r="B282" s="16">
        <v>1</v>
      </c>
      <c r="C282" s="16"/>
      <c r="D282" s="16">
        <v>1</v>
      </c>
    </row>
    <row r="283" spans="1:6" x14ac:dyDescent="0.2">
      <c r="A283" s="14" t="s">
        <v>324</v>
      </c>
      <c r="B283" s="16">
        <v>4</v>
      </c>
      <c r="C283" s="16"/>
      <c r="D283" s="16">
        <v>4</v>
      </c>
    </row>
    <row r="284" spans="1:6" x14ac:dyDescent="0.2">
      <c r="A284" s="15" t="s">
        <v>1256</v>
      </c>
      <c r="B284" s="16">
        <v>1</v>
      </c>
      <c r="C284" s="16"/>
      <c r="D284" s="16">
        <v>1</v>
      </c>
    </row>
    <row r="285" spans="1:6" x14ac:dyDescent="0.2">
      <c r="A285" s="15" t="s">
        <v>334</v>
      </c>
      <c r="B285" s="16">
        <v>1</v>
      </c>
      <c r="C285" s="16"/>
      <c r="D285" s="16">
        <v>1</v>
      </c>
    </row>
    <row r="286" spans="1:6" x14ac:dyDescent="0.2">
      <c r="A286" s="15" t="s">
        <v>323</v>
      </c>
      <c r="B286" s="16">
        <v>1</v>
      </c>
      <c r="C286" s="16"/>
      <c r="D286" s="16">
        <v>1</v>
      </c>
    </row>
    <row r="287" spans="1:6" x14ac:dyDescent="0.2">
      <c r="A287" s="15" t="s">
        <v>330</v>
      </c>
      <c r="B287" s="16">
        <v>1</v>
      </c>
      <c r="C287" s="16"/>
      <c r="D287" s="16">
        <v>1</v>
      </c>
    </row>
    <row r="288" spans="1:6" x14ac:dyDescent="0.2">
      <c r="A288" s="14" t="s">
        <v>337</v>
      </c>
      <c r="B288" s="16">
        <v>20</v>
      </c>
      <c r="C288" s="16">
        <v>12</v>
      </c>
      <c r="D288" s="16">
        <v>32</v>
      </c>
    </row>
    <row r="289" spans="1:4" x14ac:dyDescent="0.2">
      <c r="A289" s="15" t="s">
        <v>349</v>
      </c>
      <c r="B289" s="16"/>
      <c r="C289" s="16">
        <v>1</v>
      </c>
      <c r="D289" s="16">
        <v>1</v>
      </c>
    </row>
    <row r="290" spans="1:4" x14ac:dyDescent="0.2">
      <c r="A290" s="15" t="s">
        <v>369</v>
      </c>
      <c r="B290" s="16">
        <v>1</v>
      </c>
      <c r="C290" s="16"/>
      <c r="D290" s="16">
        <v>1</v>
      </c>
    </row>
    <row r="291" spans="1:4" x14ac:dyDescent="0.2">
      <c r="A291" s="15" t="s">
        <v>1380</v>
      </c>
      <c r="B291" s="16">
        <v>1</v>
      </c>
      <c r="C291" s="16">
        <v>2</v>
      </c>
      <c r="D291" s="16">
        <v>3</v>
      </c>
    </row>
    <row r="292" spans="1:4" x14ac:dyDescent="0.2">
      <c r="A292" s="15" t="s">
        <v>414</v>
      </c>
      <c r="B292" s="16">
        <v>1</v>
      </c>
      <c r="C292" s="16"/>
      <c r="D292" s="16">
        <v>1</v>
      </c>
    </row>
    <row r="293" spans="1:4" x14ac:dyDescent="0.2">
      <c r="A293" s="15" t="s">
        <v>380</v>
      </c>
      <c r="B293" s="16">
        <v>1</v>
      </c>
      <c r="C293" s="16"/>
      <c r="D293" s="16">
        <v>1</v>
      </c>
    </row>
    <row r="294" spans="1:4" x14ac:dyDescent="0.2">
      <c r="A294" s="15" t="s">
        <v>392</v>
      </c>
      <c r="B294" s="16">
        <v>1</v>
      </c>
      <c r="C294" s="16"/>
      <c r="D294" s="16">
        <v>1</v>
      </c>
    </row>
    <row r="295" spans="1:4" x14ac:dyDescent="0.2">
      <c r="A295" s="15" t="s">
        <v>366</v>
      </c>
      <c r="B295" s="16">
        <v>1</v>
      </c>
      <c r="C295" s="16"/>
      <c r="D295" s="16">
        <v>1</v>
      </c>
    </row>
    <row r="296" spans="1:4" x14ac:dyDescent="0.2">
      <c r="A296" s="15" t="s">
        <v>373</v>
      </c>
      <c r="B296" s="16">
        <v>1</v>
      </c>
      <c r="C296" s="16"/>
      <c r="D296" s="16">
        <v>1</v>
      </c>
    </row>
    <row r="297" spans="1:4" x14ac:dyDescent="0.2">
      <c r="A297" s="15" t="s">
        <v>406</v>
      </c>
      <c r="B297" s="16">
        <v>1</v>
      </c>
      <c r="C297" s="16"/>
      <c r="D297" s="16">
        <v>1</v>
      </c>
    </row>
    <row r="298" spans="1:4" x14ac:dyDescent="0.2">
      <c r="A298" s="15" t="s">
        <v>359</v>
      </c>
      <c r="B298" s="16">
        <v>1</v>
      </c>
      <c r="C298" s="16"/>
      <c r="D298" s="16">
        <v>1</v>
      </c>
    </row>
    <row r="299" spans="1:4" x14ac:dyDescent="0.2">
      <c r="A299" s="15" t="s">
        <v>388</v>
      </c>
      <c r="B299" s="16"/>
      <c r="C299" s="16">
        <v>1</v>
      </c>
      <c r="D299" s="16">
        <v>1</v>
      </c>
    </row>
    <row r="300" spans="1:4" x14ac:dyDescent="0.2">
      <c r="A300" s="15" t="s">
        <v>355</v>
      </c>
      <c r="B300" s="16">
        <v>1</v>
      </c>
      <c r="C300" s="16"/>
      <c r="D300" s="16">
        <v>1</v>
      </c>
    </row>
    <row r="301" spans="1:4" x14ac:dyDescent="0.2">
      <c r="A301" s="15" t="s">
        <v>410</v>
      </c>
      <c r="B301" s="16">
        <v>1</v>
      </c>
      <c r="C301" s="16"/>
      <c r="D301" s="16">
        <v>1</v>
      </c>
    </row>
    <row r="302" spans="1:4" x14ac:dyDescent="0.2">
      <c r="A302" s="15" t="s">
        <v>353</v>
      </c>
      <c r="B302" s="16"/>
      <c r="C302" s="16">
        <v>1</v>
      </c>
      <c r="D302" s="16">
        <v>1</v>
      </c>
    </row>
    <row r="303" spans="1:4" x14ac:dyDescent="0.2">
      <c r="A303" s="15" t="s">
        <v>402</v>
      </c>
      <c r="B303" s="16">
        <v>1</v>
      </c>
      <c r="C303" s="16"/>
      <c r="D303" s="16">
        <v>1</v>
      </c>
    </row>
    <row r="304" spans="1:4" x14ac:dyDescent="0.2">
      <c r="A304" s="15" t="s">
        <v>398</v>
      </c>
      <c r="B304" s="16">
        <v>1</v>
      </c>
      <c r="C304" s="16"/>
      <c r="D304" s="16">
        <v>1</v>
      </c>
    </row>
    <row r="305" spans="1:4" x14ac:dyDescent="0.2">
      <c r="A305" s="15" t="s">
        <v>425</v>
      </c>
      <c r="B305" s="16"/>
      <c r="C305" s="16">
        <v>1</v>
      </c>
      <c r="D305" s="16">
        <v>1</v>
      </c>
    </row>
    <row r="306" spans="1:4" x14ac:dyDescent="0.2">
      <c r="A306" s="15" t="s">
        <v>345</v>
      </c>
      <c r="B306" s="16">
        <v>1</v>
      </c>
      <c r="C306" s="16"/>
      <c r="D306" s="16">
        <v>1</v>
      </c>
    </row>
    <row r="307" spans="1:4" x14ac:dyDescent="0.2">
      <c r="A307" s="15" t="s">
        <v>421</v>
      </c>
      <c r="B307" s="16"/>
      <c r="C307" s="16">
        <v>1</v>
      </c>
      <c r="D307" s="16">
        <v>1</v>
      </c>
    </row>
    <row r="308" spans="1:4" x14ac:dyDescent="0.2">
      <c r="A308" s="15" t="s">
        <v>377</v>
      </c>
      <c r="B308" s="16">
        <v>1</v>
      </c>
      <c r="C308" s="16"/>
      <c r="D308" s="16">
        <v>1</v>
      </c>
    </row>
    <row r="309" spans="1:4" x14ac:dyDescent="0.2">
      <c r="A309" s="15" t="s">
        <v>363</v>
      </c>
      <c r="B309" s="16">
        <v>1</v>
      </c>
      <c r="C309" s="16"/>
      <c r="D309" s="16">
        <v>1</v>
      </c>
    </row>
    <row r="310" spans="1:4" x14ac:dyDescent="0.2">
      <c r="A310" s="15" t="s">
        <v>396</v>
      </c>
      <c r="B310" s="16">
        <v>1</v>
      </c>
      <c r="C310" s="16">
        <v>2</v>
      </c>
      <c r="D310" s="16">
        <v>3</v>
      </c>
    </row>
    <row r="311" spans="1:4" x14ac:dyDescent="0.2">
      <c r="A311" s="15" t="s">
        <v>423</v>
      </c>
      <c r="B311" s="16">
        <v>1</v>
      </c>
      <c r="C311" s="16">
        <v>1</v>
      </c>
      <c r="D311" s="16">
        <v>2</v>
      </c>
    </row>
    <row r="312" spans="1:4" x14ac:dyDescent="0.2">
      <c r="A312" s="15" t="s">
        <v>342</v>
      </c>
      <c r="B312" s="16">
        <v>1</v>
      </c>
      <c r="C312" s="16">
        <v>2</v>
      </c>
      <c r="D312" s="16">
        <v>3</v>
      </c>
    </row>
    <row r="313" spans="1:4" x14ac:dyDescent="0.2">
      <c r="A313" s="15" t="s">
        <v>418</v>
      </c>
      <c r="B313" s="16">
        <v>1</v>
      </c>
      <c r="C313" s="16"/>
      <c r="D313" s="16">
        <v>1</v>
      </c>
    </row>
    <row r="314" spans="1:4" x14ac:dyDescent="0.2">
      <c r="A314" s="14" t="s">
        <v>1460</v>
      </c>
      <c r="B314" s="16"/>
      <c r="C314" s="16">
        <v>2</v>
      </c>
      <c r="D314" s="16">
        <v>2</v>
      </c>
    </row>
    <row r="315" spans="1:4" x14ac:dyDescent="0.2">
      <c r="A315" s="15" t="s">
        <v>321</v>
      </c>
      <c r="B315" s="16"/>
      <c r="C315" s="16">
        <v>1</v>
      </c>
      <c r="D315" s="16">
        <v>1</v>
      </c>
    </row>
    <row r="316" spans="1:4" x14ac:dyDescent="0.2">
      <c r="A316" s="15" t="s">
        <v>313</v>
      </c>
      <c r="B316" s="16"/>
      <c r="C316" s="16">
        <v>1</v>
      </c>
      <c r="D316" s="16">
        <v>1</v>
      </c>
    </row>
    <row r="317" spans="1:4" x14ac:dyDescent="0.2">
      <c r="A317" s="13" t="s">
        <v>1198</v>
      </c>
      <c r="B317" s="16">
        <v>4</v>
      </c>
      <c r="C317" s="16">
        <v>1</v>
      </c>
      <c r="D317" s="16">
        <v>5</v>
      </c>
    </row>
    <row r="318" spans="1:4" x14ac:dyDescent="0.2">
      <c r="A318" s="14" t="s">
        <v>1460</v>
      </c>
      <c r="B318" s="16">
        <v>4</v>
      </c>
      <c r="C318" s="16">
        <v>1</v>
      </c>
      <c r="D318" s="16">
        <v>5</v>
      </c>
    </row>
    <row r="319" spans="1:4" x14ac:dyDescent="0.2">
      <c r="A319" s="15" t="s">
        <v>1215</v>
      </c>
      <c r="B319" s="16">
        <v>1</v>
      </c>
      <c r="C319" s="16"/>
      <c r="D319" s="16">
        <v>1</v>
      </c>
    </row>
    <row r="320" spans="1:4" x14ac:dyDescent="0.2">
      <c r="A320" s="15" t="s">
        <v>1203</v>
      </c>
      <c r="B320" s="16">
        <v>1</v>
      </c>
      <c r="C320" s="16"/>
      <c r="D320" s="16">
        <v>1</v>
      </c>
    </row>
    <row r="321" spans="1:4" x14ac:dyDescent="0.2">
      <c r="A321" s="15" t="s">
        <v>1207</v>
      </c>
      <c r="B321" s="16">
        <v>1</v>
      </c>
      <c r="C321" s="16"/>
      <c r="D321" s="16">
        <v>1</v>
      </c>
    </row>
    <row r="322" spans="1:4" x14ac:dyDescent="0.2">
      <c r="A322" s="15" t="s">
        <v>1211</v>
      </c>
      <c r="B322" s="16">
        <v>1</v>
      </c>
      <c r="C322" s="16"/>
      <c r="D322" s="16">
        <v>1</v>
      </c>
    </row>
    <row r="323" spans="1:4" x14ac:dyDescent="0.2">
      <c r="A323" s="15" t="s">
        <v>1197</v>
      </c>
      <c r="B323" s="16"/>
      <c r="C323" s="16">
        <v>1</v>
      </c>
      <c r="D323" s="16">
        <v>1</v>
      </c>
    </row>
    <row r="324" spans="1:4" x14ac:dyDescent="0.2">
      <c r="A324" s="13" t="s">
        <v>866</v>
      </c>
      <c r="B324" s="16"/>
      <c r="C324" s="16">
        <v>1</v>
      </c>
      <c r="D324" s="16">
        <v>1</v>
      </c>
    </row>
    <row r="325" spans="1:4" x14ac:dyDescent="0.2">
      <c r="A325" s="14" t="s">
        <v>865</v>
      </c>
      <c r="B325" s="16"/>
      <c r="C325" s="16">
        <v>1</v>
      </c>
      <c r="D325" s="16">
        <v>1</v>
      </c>
    </row>
    <row r="326" spans="1:4" x14ac:dyDescent="0.2">
      <c r="A326" s="15" t="s">
        <v>864</v>
      </c>
      <c r="B326" s="16"/>
      <c r="C326" s="16">
        <v>1</v>
      </c>
      <c r="D326" s="16">
        <v>1</v>
      </c>
    </row>
    <row r="327" spans="1:4" x14ac:dyDescent="0.2">
      <c r="A327" s="13" t="s">
        <v>813</v>
      </c>
      <c r="B327" s="16">
        <v>15</v>
      </c>
      <c r="C327" s="16">
        <v>3</v>
      </c>
      <c r="D327" s="16">
        <v>18</v>
      </c>
    </row>
    <row r="328" spans="1:4" x14ac:dyDescent="0.2">
      <c r="A328" s="14" t="s">
        <v>820</v>
      </c>
      <c r="B328" s="16">
        <v>7</v>
      </c>
      <c r="C328" s="16">
        <v>2</v>
      </c>
      <c r="D328" s="16">
        <v>9</v>
      </c>
    </row>
    <row r="329" spans="1:4" x14ac:dyDescent="0.2">
      <c r="A329" s="15" t="s">
        <v>1223</v>
      </c>
      <c r="B329" s="16">
        <v>1</v>
      </c>
      <c r="C329" s="16"/>
      <c r="D329" s="16">
        <v>1</v>
      </c>
    </row>
    <row r="330" spans="1:4" x14ac:dyDescent="0.2">
      <c r="A330" s="15" t="s">
        <v>834</v>
      </c>
      <c r="B330" s="16">
        <v>1</v>
      </c>
      <c r="C330" s="16"/>
      <c r="D330" s="16">
        <v>1</v>
      </c>
    </row>
    <row r="331" spans="1:4" x14ac:dyDescent="0.2">
      <c r="A331" s="15" t="s">
        <v>831</v>
      </c>
      <c r="B331" s="16"/>
      <c r="C331" s="16">
        <v>1</v>
      </c>
      <c r="D331" s="16">
        <v>1</v>
      </c>
    </row>
    <row r="332" spans="1:4" x14ac:dyDescent="0.2">
      <c r="A332" s="15" t="s">
        <v>1227</v>
      </c>
      <c r="B332" s="16">
        <v>1</v>
      </c>
      <c r="C332" s="16"/>
      <c r="D332" s="16">
        <v>1</v>
      </c>
    </row>
    <row r="333" spans="1:4" x14ac:dyDescent="0.2">
      <c r="A333" s="15" t="s">
        <v>1219</v>
      </c>
      <c r="B333" s="16">
        <v>1</v>
      </c>
      <c r="C333" s="16"/>
      <c r="D333" s="16">
        <v>1</v>
      </c>
    </row>
    <row r="334" spans="1:4" x14ac:dyDescent="0.2">
      <c r="A334" s="15" t="s">
        <v>1232</v>
      </c>
      <c r="B334" s="16">
        <v>1</v>
      </c>
      <c r="C334" s="16"/>
      <c r="D334" s="16">
        <v>1</v>
      </c>
    </row>
    <row r="335" spans="1:4" x14ac:dyDescent="0.2">
      <c r="A335" s="15" t="s">
        <v>827</v>
      </c>
      <c r="B335" s="16"/>
      <c r="C335" s="16">
        <v>1</v>
      </c>
      <c r="D335" s="16">
        <v>1</v>
      </c>
    </row>
    <row r="336" spans="1:4" x14ac:dyDescent="0.2">
      <c r="A336" s="15" t="s">
        <v>819</v>
      </c>
      <c r="B336" s="16">
        <v>1</v>
      </c>
      <c r="C336" s="16"/>
      <c r="D336" s="16">
        <v>1</v>
      </c>
    </row>
    <row r="337" spans="1:7" x14ac:dyDescent="0.2">
      <c r="A337" s="15" t="s">
        <v>1236</v>
      </c>
      <c r="B337" s="16">
        <v>1</v>
      </c>
      <c r="C337" s="16"/>
      <c r="D337" s="16">
        <v>1</v>
      </c>
    </row>
    <row r="338" spans="1:7" x14ac:dyDescent="0.2">
      <c r="A338" s="14" t="s">
        <v>839</v>
      </c>
      <c r="B338" s="16">
        <v>7</v>
      </c>
      <c r="C338" s="16">
        <v>1</v>
      </c>
      <c r="D338" s="16">
        <v>8</v>
      </c>
    </row>
    <row r="339" spans="1:7" x14ac:dyDescent="0.2">
      <c r="A339" s="15" t="s">
        <v>847</v>
      </c>
      <c r="B339" s="16">
        <v>1</v>
      </c>
      <c r="C339" s="16"/>
      <c r="D339" s="16">
        <v>1</v>
      </c>
    </row>
    <row r="340" spans="1:7" x14ac:dyDescent="0.2">
      <c r="A340" s="15" t="s">
        <v>838</v>
      </c>
      <c r="B340" s="16">
        <v>1</v>
      </c>
      <c r="C340" s="16"/>
      <c r="D340" s="16">
        <v>1</v>
      </c>
    </row>
    <row r="341" spans="1:7" x14ac:dyDescent="0.2">
      <c r="A341" s="15" t="s">
        <v>849</v>
      </c>
      <c r="B341" s="16">
        <v>1</v>
      </c>
      <c r="C341" s="16"/>
      <c r="D341" s="16">
        <v>1</v>
      </c>
    </row>
    <row r="342" spans="1:7" x14ac:dyDescent="0.2">
      <c r="A342" s="15" t="s">
        <v>860</v>
      </c>
      <c r="B342" s="16">
        <v>1</v>
      </c>
      <c r="C342" s="16"/>
      <c r="D342" s="16">
        <v>1</v>
      </c>
    </row>
    <row r="343" spans="1:7" x14ac:dyDescent="0.2">
      <c r="A343" s="15" t="s">
        <v>845</v>
      </c>
      <c r="B343" s="16">
        <v>1</v>
      </c>
      <c r="C343" s="16"/>
      <c r="D343" s="16">
        <v>1</v>
      </c>
    </row>
    <row r="344" spans="1:7" x14ac:dyDescent="0.2">
      <c r="A344" s="15" t="s">
        <v>854</v>
      </c>
      <c r="B344" s="16">
        <v>1</v>
      </c>
      <c r="C344" s="16"/>
      <c r="D344" s="16">
        <v>1</v>
      </c>
    </row>
    <row r="345" spans="1:7" x14ac:dyDescent="0.2">
      <c r="A345" s="15" t="s">
        <v>857</v>
      </c>
      <c r="B345" s="16">
        <v>1</v>
      </c>
      <c r="C345" s="16">
        <v>1</v>
      </c>
      <c r="D345" s="16">
        <v>2</v>
      </c>
    </row>
    <row r="346" spans="1:7" x14ac:dyDescent="0.2">
      <c r="A346" s="14" t="s">
        <v>1460</v>
      </c>
      <c r="B346" s="16">
        <v>1</v>
      </c>
      <c r="C346" s="16"/>
      <c r="D346" s="16">
        <v>1</v>
      </c>
    </row>
    <row r="347" spans="1:7" x14ac:dyDescent="0.2">
      <c r="A347" s="15" t="s">
        <v>812</v>
      </c>
      <c r="B347" s="16">
        <v>1</v>
      </c>
      <c r="C347" s="16"/>
      <c r="D347" s="16">
        <v>1</v>
      </c>
      <c r="E347" t="s">
        <v>1470</v>
      </c>
      <c r="F347" s="17" t="s">
        <v>1547</v>
      </c>
      <c r="G347" s="19" t="s">
        <v>1566</v>
      </c>
    </row>
    <row r="348" spans="1:7" x14ac:dyDescent="0.2">
      <c r="A348" s="13" t="s">
        <v>884</v>
      </c>
      <c r="B348" s="16">
        <v>23</v>
      </c>
      <c r="C348" s="16">
        <v>16</v>
      </c>
      <c r="D348" s="16">
        <v>39</v>
      </c>
    </row>
    <row r="349" spans="1:7" x14ac:dyDescent="0.2">
      <c r="A349" s="14" t="s">
        <v>1447</v>
      </c>
      <c r="B349" s="16">
        <v>3</v>
      </c>
      <c r="C349" s="16"/>
      <c r="D349" s="16">
        <v>3</v>
      </c>
    </row>
    <row r="350" spans="1:7" x14ac:dyDescent="0.2">
      <c r="A350" s="15" t="s">
        <v>993</v>
      </c>
      <c r="B350" s="16">
        <v>1</v>
      </c>
      <c r="C350" s="16"/>
      <c r="D350" s="16">
        <v>1</v>
      </c>
    </row>
    <row r="351" spans="1:7" x14ac:dyDescent="0.2">
      <c r="A351" s="15" t="s">
        <v>997</v>
      </c>
      <c r="B351" s="16">
        <v>1</v>
      </c>
      <c r="C351" s="16"/>
      <c r="D351" s="16">
        <v>1</v>
      </c>
    </row>
    <row r="352" spans="1:7" x14ac:dyDescent="0.2">
      <c r="A352" s="15" t="s">
        <v>1001</v>
      </c>
      <c r="B352" s="16">
        <v>1</v>
      </c>
      <c r="C352" s="16"/>
      <c r="D352" s="16">
        <v>1</v>
      </c>
    </row>
    <row r="353" spans="1:4" x14ac:dyDescent="0.2">
      <c r="A353" s="14" t="s">
        <v>896</v>
      </c>
      <c r="B353" s="16">
        <v>3</v>
      </c>
      <c r="C353" s="16">
        <v>3</v>
      </c>
      <c r="D353" s="16">
        <v>6</v>
      </c>
    </row>
    <row r="354" spans="1:4" x14ac:dyDescent="0.2">
      <c r="A354" s="15" t="s">
        <v>895</v>
      </c>
      <c r="B354" s="16">
        <v>1</v>
      </c>
      <c r="C354" s="16"/>
      <c r="D354" s="16">
        <v>1</v>
      </c>
    </row>
    <row r="355" spans="1:4" x14ac:dyDescent="0.2">
      <c r="A355" s="15" t="s">
        <v>900</v>
      </c>
      <c r="B355" s="16">
        <v>1</v>
      </c>
      <c r="C355" s="16">
        <v>1</v>
      </c>
      <c r="D355" s="16">
        <v>2</v>
      </c>
    </row>
    <row r="356" spans="1:4" x14ac:dyDescent="0.2">
      <c r="A356" s="15" t="s">
        <v>898</v>
      </c>
      <c r="B356" s="16">
        <v>1</v>
      </c>
      <c r="C356" s="16">
        <v>2</v>
      </c>
      <c r="D356" s="16">
        <v>3</v>
      </c>
    </row>
    <row r="357" spans="1:4" x14ac:dyDescent="0.2">
      <c r="A357" s="14" t="s">
        <v>903</v>
      </c>
      <c r="B357" s="16">
        <v>2</v>
      </c>
      <c r="C357" s="16"/>
      <c r="D357" s="16">
        <v>2</v>
      </c>
    </row>
    <row r="358" spans="1:4" x14ac:dyDescent="0.2">
      <c r="A358" s="15" t="s">
        <v>1412</v>
      </c>
      <c r="B358" s="16">
        <v>1</v>
      </c>
      <c r="C358" s="16"/>
      <c r="D358" s="16">
        <v>1</v>
      </c>
    </row>
    <row r="359" spans="1:4" x14ac:dyDescent="0.2">
      <c r="A359" s="15" t="s">
        <v>902</v>
      </c>
      <c r="B359" s="16">
        <v>1</v>
      </c>
      <c r="C359" s="16"/>
      <c r="D359" s="16">
        <v>1</v>
      </c>
    </row>
    <row r="360" spans="1:4" x14ac:dyDescent="0.2">
      <c r="A360" s="14" t="s">
        <v>913</v>
      </c>
      <c r="B360" s="16"/>
      <c r="C360" s="16">
        <v>1</v>
      </c>
      <c r="D360" s="16">
        <v>1</v>
      </c>
    </row>
    <row r="361" spans="1:4" x14ac:dyDescent="0.2">
      <c r="A361" s="15" t="s">
        <v>912</v>
      </c>
      <c r="B361" s="16"/>
      <c r="C361" s="16">
        <v>1</v>
      </c>
      <c r="D361" s="16">
        <v>1</v>
      </c>
    </row>
    <row r="362" spans="1:4" x14ac:dyDescent="0.2">
      <c r="A362" s="14" t="s">
        <v>921</v>
      </c>
      <c r="B362" s="16">
        <v>7</v>
      </c>
      <c r="C362" s="16">
        <v>8</v>
      </c>
      <c r="D362" s="16">
        <v>15</v>
      </c>
    </row>
    <row r="363" spans="1:4" x14ac:dyDescent="0.2">
      <c r="A363" s="15" t="s">
        <v>930</v>
      </c>
      <c r="B363" s="16">
        <v>1</v>
      </c>
      <c r="C363" s="16"/>
      <c r="D363" s="16">
        <v>1</v>
      </c>
    </row>
    <row r="364" spans="1:4" x14ac:dyDescent="0.2">
      <c r="A364" s="15" t="s">
        <v>956</v>
      </c>
      <c r="B364" s="16">
        <v>1</v>
      </c>
      <c r="C364" s="16"/>
      <c r="D364" s="16">
        <v>1</v>
      </c>
    </row>
    <row r="365" spans="1:4" x14ac:dyDescent="0.2">
      <c r="A365" s="15" t="s">
        <v>969</v>
      </c>
      <c r="B365" s="16"/>
      <c r="C365" s="16">
        <v>1</v>
      </c>
      <c r="D365" s="16">
        <v>1</v>
      </c>
    </row>
    <row r="366" spans="1:4" x14ac:dyDescent="0.2">
      <c r="A366" s="15" t="s">
        <v>920</v>
      </c>
      <c r="B366" s="16"/>
      <c r="C366" s="16">
        <v>1</v>
      </c>
      <c r="D366" s="16">
        <v>1</v>
      </c>
    </row>
    <row r="367" spans="1:4" x14ac:dyDescent="0.2">
      <c r="A367" s="15" t="s">
        <v>959</v>
      </c>
      <c r="B367" s="16">
        <v>1</v>
      </c>
      <c r="C367" s="16"/>
      <c r="D367" s="16">
        <v>1</v>
      </c>
    </row>
    <row r="368" spans="1:4" x14ac:dyDescent="0.2">
      <c r="A368" s="15" t="s">
        <v>927</v>
      </c>
      <c r="B368" s="16">
        <v>1</v>
      </c>
      <c r="C368" s="16"/>
      <c r="D368" s="16">
        <v>1</v>
      </c>
    </row>
    <row r="369" spans="1:4" x14ac:dyDescent="0.2">
      <c r="A369" s="15" t="s">
        <v>949</v>
      </c>
      <c r="B369" s="16"/>
      <c r="C369" s="16">
        <v>1</v>
      </c>
      <c r="D369" s="16">
        <v>1</v>
      </c>
    </row>
    <row r="370" spans="1:4" x14ac:dyDescent="0.2">
      <c r="A370" s="15" t="s">
        <v>933</v>
      </c>
      <c r="B370" s="16"/>
      <c r="C370" s="16">
        <v>1</v>
      </c>
      <c r="D370" s="16">
        <v>1</v>
      </c>
    </row>
    <row r="371" spans="1:4" x14ac:dyDescent="0.2">
      <c r="A371" s="15" t="s">
        <v>941</v>
      </c>
      <c r="B371" s="16"/>
      <c r="C371" s="16">
        <v>1</v>
      </c>
      <c r="D371" s="16">
        <v>1</v>
      </c>
    </row>
    <row r="372" spans="1:4" x14ac:dyDescent="0.2">
      <c r="A372" s="15" t="s">
        <v>945</v>
      </c>
      <c r="B372" s="16"/>
      <c r="C372" s="16">
        <v>1</v>
      </c>
      <c r="D372" s="16">
        <v>1</v>
      </c>
    </row>
    <row r="373" spans="1:4" x14ac:dyDescent="0.2">
      <c r="A373" s="15" t="s">
        <v>937</v>
      </c>
      <c r="B373" s="16"/>
      <c r="C373" s="16">
        <v>1</v>
      </c>
      <c r="D373" s="16">
        <v>1</v>
      </c>
    </row>
    <row r="374" spans="1:4" x14ac:dyDescent="0.2">
      <c r="A374" s="15" t="s">
        <v>966</v>
      </c>
      <c r="B374" s="16">
        <v>1</v>
      </c>
      <c r="C374" s="16"/>
      <c r="D374" s="16">
        <v>1</v>
      </c>
    </row>
    <row r="375" spans="1:4" x14ac:dyDescent="0.2">
      <c r="A375" s="15" t="s">
        <v>972</v>
      </c>
      <c r="B375" s="16"/>
      <c r="C375" s="16">
        <v>1</v>
      </c>
      <c r="D375" s="16">
        <v>1</v>
      </c>
    </row>
    <row r="376" spans="1:4" x14ac:dyDescent="0.2">
      <c r="A376" s="15" t="s">
        <v>962</v>
      </c>
      <c r="B376" s="16">
        <v>1</v>
      </c>
      <c r="C376" s="16"/>
      <c r="D376" s="16">
        <v>1</v>
      </c>
    </row>
    <row r="377" spans="1:4" x14ac:dyDescent="0.2">
      <c r="A377" s="15" t="s">
        <v>953</v>
      </c>
      <c r="B377" s="16">
        <v>1</v>
      </c>
      <c r="C377" s="16"/>
      <c r="D377" s="16">
        <v>1</v>
      </c>
    </row>
    <row r="378" spans="1:4" x14ac:dyDescent="0.2">
      <c r="A378" s="14" t="s">
        <v>1016</v>
      </c>
      <c r="B378" s="16">
        <v>2</v>
      </c>
      <c r="C378" s="16"/>
      <c r="D378" s="16">
        <v>2</v>
      </c>
    </row>
    <row r="379" spans="1:4" x14ac:dyDescent="0.2">
      <c r="A379" s="15" t="s">
        <v>1015</v>
      </c>
      <c r="B379" s="16">
        <v>1</v>
      </c>
      <c r="C379" s="16"/>
      <c r="D379" s="16">
        <v>1</v>
      </c>
    </row>
    <row r="380" spans="1:4" x14ac:dyDescent="0.2">
      <c r="A380" s="15" t="s">
        <v>1023</v>
      </c>
      <c r="B380" s="16">
        <v>1</v>
      </c>
      <c r="C380" s="16"/>
      <c r="D380" s="16">
        <v>1</v>
      </c>
    </row>
    <row r="381" spans="1:4" x14ac:dyDescent="0.2">
      <c r="A381" s="14" t="s">
        <v>977</v>
      </c>
      <c r="B381" s="16">
        <v>1</v>
      </c>
      <c r="C381" s="16">
        <v>2</v>
      </c>
      <c r="D381" s="16">
        <v>3</v>
      </c>
    </row>
    <row r="382" spans="1:4" x14ac:dyDescent="0.2">
      <c r="A382" s="15" t="s">
        <v>1005</v>
      </c>
      <c r="B382" s="16"/>
      <c r="C382" s="16">
        <v>1</v>
      </c>
      <c r="D382" s="16">
        <v>1</v>
      </c>
    </row>
    <row r="383" spans="1:4" x14ac:dyDescent="0.2">
      <c r="A383" s="15" t="s">
        <v>976</v>
      </c>
      <c r="B383" s="16">
        <v>1</v>
      </c>
      <c r="C383" s="16"/>
      <c r="D383" s="16">
        <v>1</v>
      </c>
    </row>
    <row r="384" spans="1:4" x14ac:dyDescent="0.2">
      <c r="A384" s="15" t="s">
        <v>1013</v>
      </c>
      <c r="B384" s="16"/>
      <c r="C384" s="16">
        <v>1</v>
      </c>
      <c r="D384" s="16">
        <v>1</v>
      </c>
    </row>
    <row r="385" spans="1:7" x14ac:dyDescent="0.2">
      <c r="A385" s="14" t="s">
        <v>1446</v>
      </c>
      <c r="B385" s="16">
        <v>3</v>
      </c>
      <c r="C385" s="16"/>
      <c r="D385" s="16">
        <v>3</v>
      </c>
    </row>
    <row r="386" spans="1:7" x14ac:dyDescent="0.2">
      <c r="A386" s="15" t="s">
        <v>1009</v>
      </c>
      <c r="B386" s="16">
        <v>1</v>
      </c>
      <c r="C386" s="16"/>
      <c r="D386" s="16">
        <v>1</v>
      </c>
    </row>
    <row r="387" spans="1:7" x14ac:dyDescent="0.2">
      <c r="A387" s="15" t="s">
        <v>988</v>
      </c>
      <c r="B387" s="16">
        <v>1</v>
      </c>
      <c r="C387" s="16"/>
      <c r="D387" s="16">
        <v>1</v>
      </c>
    </row>
    <row r="388" spans="1:7" x14ac:dyDescent="0.2">
      <c r="A388" s="15" t="s">
        <v>984</v>
      </c>
      <c r="B388" s="16">
        <v>1</v>
      </c>
      <c r="C388" s="16"/>
      <c r="D388" s="16">
        <v>1</v>
      </c>
    </row>
    <row r="389" spans="1:7" x14ac:dyDescent="0.2">
      <c r="A389" s="14" t="s">
        <v>1460</v>
      </c>
      <c r="B389" s="16">
        <v>2</v>
      </c>
      <c r="C389" s="16">
        <v>2</v>
      </c>
      <c r="D389" s="16">
        <v>4</v>
      </c>
    </row>
    <row r="390" spans="1:7" x14ac:dyDescent="0.2">
      <c r="A390" s="15" t="s">
        <v>891</v>
      </c>
      <c r="B390" s="16"/>
      <c r="C390" s="16">
        <v>1</v>
      </c>
      <c r="D390" s="16">
        <v>1</v>
      </c>
      <c r="E390" t="s">
        <v>1471</v>
      </c>
      <c r="F390" s="17" t="s">
        <v>1547</v>
      </c>
      <c r="G390" s="19" t="s">
        <v>1566</v>
      </c>
    </row>
    <row r="391" spans="1:7" x14ac:dyDescent="0.2">
      <c r="A391" s="15" t="s">
        <v>1341</v>
      </c>
      <c r="B391" s="16">
        <v>1</v>
      </c>
      <c r="C391" s="16"/>
      <c r="D391" s="16">
        <v>1</v>
      </c>
      <c r="E391" t="s">
        <v>1472</v>
      </c>
      <c r="F391" s="17" t="s">
        <v>1546</v>
      </c>
      <c r="G391" s="19" t="s">
        <v>1566</v>
      </c>
    </row>
    <row r="392" spans="1:7" x14ac:dyDescent="0.2">
      <c r="A392" s="15" t="s">
        <v>883</v>
      </c>
      <c r="B392" s="16"/>
      <c r="C392" s="16">
        <v>1</v>
      </c>
      <c r="D392" s="16">
        <v>1</v>
      </c>
      <c r="E392" t="s">
        <v>1473</v>
      </c>
      <c r="F392" s="17" t="s">
        <v>1547</v>
      </c>
      <c r="G392" s="19" t="s">
        <v>1566</v>
      </c>
    </row>
    <row r="393" spans="1:7" x14ac:dyDescent="0.2">
      <c r="A393" s="15" t="s">
        <v>918</v>
      </c>
      <c r="B393" s="16">
        <v>1</v>
      </c>
      <c r="C393" s="16"/>
      <c r="D393" s="16">
        <v>1</v>
      </c>
    </row>
    <row r="394" spans="1:7" x14ac:dyDescent="0.2">
      <c r="A394" s="13" t="s">
        <v>1304</v>
      </c>
      <c r="B394" s="16">
        <v>33</v>
      </c>
      <c r="C394" s="16">
        <v>10</v>
      </c>
      <c r="D394" s="16">
        <v>43</v>
      </c>
    </row>
    <row r="395" spans="1:7" x14ac:dyDescent="0.2">
      <c r="A395" s="14" t="s">
        <v>1307</v>
      </c>
      <c r="B395" s="16">
        <v>8</v>
      </c>
      <c r="C395" s="16">
        <v>1</v>
      </c>
      <c r="D395" s="16">
        <v>9</v>
      </c>
    </row>
    <row r="396" spans="1:7" x14ac:dyDescent="0.2">
      <c r="A396" s="15" t="s">
        <v>1322</v>
      </c>
      <c r="B396" s="16">
        <v>1</v>
      </c>
      <c r="C396" s="16"/>
      <c r="D396" s="16">
        <v>1</v>
      </c>
    </row>
    <row r="397" spans="1:7" x14ac:dyDescent="0.2">
      <c r="A397" s="15" t="s">
        <v>1268</v>
      </c>
      <c r="B397" s="16">
        <v>1</v>
      </c>
      <c r="C397" s="16"/>
      <c r="D397" s="16">
        <v>1</v>
      </c>
    </row>
    <row r="398" spans="1:7" x14ac:dyDescent="0.2">
      <c r="A398" s="15" t="s">
        <v>1264</v>
      </c>
      <c r="B398" s="16">
        <v>1</v>
      </c>
      <c r="C398" s="16"/>
      <c r="D398" s="16">
        <v>1</v>
      </c>
    </row>
    <row r="399" spans="1:7" x14ac:dyDescent="0.2">
      <c r="A399" s="15" t="s">
        <v>1318</v>
      </c>
      <c r="B399" s="16">
        <v>1</v>
      </c>
      <c r="C399" s="16"/>
      <c r="D399" s="16">
        <v>1</v>
      </c>
    </row>
    <row r="400" spans="1:7" x14ac:dyDescent="0.2">
      <c r="A400" s="15" t="s">
        <v>1272</v>
      </c>
      <c r="B400" s="16">
        <v>1</v>
      </c>
      <c r="C400" s="16"/>
      <c r="D400" s="16">
        <v>1</v>
      </c>
    </row>
    <row r="401" spans="1:4" x14ac:dyDescent="0.2">
      <c r="A401" s="15" t="s">
        <v>1280</v>
      </c>
      <c r="B401" s="16">
        <v>1</v>
      </c>
      <c r="C401" s="16"/>
      <c r="D401" s="16">
        <v>1</v>
      </c>
    </row>
    <row r="402" spans="1:4" x14ac:dyDescent="0.2">
      <c r="A402" s="15" t="s">
        <v>1244</v>
      </c>
      <c r="B402" s="16">
        <v>1</v>
      </c>
      <c r="C402" s="16"/>
      <c r="D402" s="16">
        <v>1</v>
      </c>
    </row>
    <row r="403" spans="1:4" x14ac:dyDescent="0.2">
      <c r="A403" s="15" t="s">
        <v>1258</v>
      </c>
      <c r="B403" s="16">
        <v>1</v>
      </c>
      <c r="C403" s="16"/>
      <c r="D403" s="16">
        <v>1</v>
      </c>
    </row>
    <row r="404" spans="1:4" x14ac:dyDescent="0.2">
      <c r="A404" s="15" t="s">
        <v>441</v>
      </c>
      <c r="B404" s="16"/>
      <c r="C404" s="16">
        <v>1</v>
      </c>
      <c r="D404" s="16">
        <v>1</v>
      </c>
    </row>
    <row r="405" spans="1:4" x14ac:dyDescent="0.2">
      <c r="A405" s="14" t="s">
        <v>1308</v>
      </c>
      <c r="B405" s="16">
        <v>7</v>
      </c>
      <c r="C405" s="16">
        <v>2</v>
      </c>
      <c r="D405" s="16">
        <v>9</v>
      </c>
    </row>
    <row r="406" spans="1:4" x14ac:dyDescent="0.2">
      <c r="A406" s="15" t="s">
        <v>1284</v>
      </c>
      <c r="B406" s="16">
        <v>1</v>
      </c>
      <c r="C406" s="16"/>
      <c r="D406" s="16">
        <v>1</v>
      </c>
    </row>
    <row r="407" spans="1:4" x14ac:dyDescent="0.2">
      <c r="A407" s="15" t="s">
        <v>1278</v>
      </c>
      <c r="B407" s="16">
        <v>1</v>
      </c>
      <c r="C407" s="16">
        <v>1</v>
      </c>
      <c r="D407" s="16">
        <v>2</v>
      </c>
    </row>
    <row r="408" spans="1:4" x14ac:dyDescent="0.2">
      <c r="A408" s="15" t="s">
        <v>1282</v>
      </c>
      <c r="B408" s="16">
        <v>1</v>
      </c>
      <c r="C408" s="16"/>
      <c r="D408" s="16">
        <v>1</v>
      </c>
    </row>
    <row r="409" spans="1:4" x14ac:dyDescent="0.2">
      <c r="A409" s="15" t="s">
        <v>1262</v>
      </c>
      <c r="B409" s="16">
        <v>1</v>
      </c>
      <c r="C409" s="16"/>
      <c r="D409" s="16">
        <v>1</v>
      </c>
    </row>
    <row r="410" spans="1:4" x14ac:dyDescent="0.2">
      <c r="A410" s="15" t="s">
        <v>1290</v>
      </c>
      <c r="B410" s="16">
        <v>1</v>
      </c>
      <c r="C410" s="16"/>
      <c r="D410" s="16">
        <v>1</v>
      </c>
    </row>
    <row r="411" spans="1:4" x14ac:dyDescent="0.2">
      <c r="A411" s="15" t="s">
        <v>1246</v>
      </c>
      <c r="B411" s="16">
        <v>1</v>
      </c>
      <c r="C411" s="16"/>
      <c r="D411" s="16">
        <v>1</v>
      </c>
    </row>
    <row r="412" spans="1:4" x14ac:dyDescent="0.2">
      <c r="A412" s="15" t="s">
        <v>1286</v>
      </c>
      <c r="B412" s="16">
        <v>1</v>
      </c>
      <c r="C412" s="16"/>
      <c r="D412" s="16">
        <v>1</v>
      </c>
    </row>
    <row r="413" spans="1:4" x14ac:dyDescent="0.2">
      <c r="A413" s="15" t="s">
        <v>454</v>
      </c>
      <c r="B413" s="16"/>
      <c r="C413" s="16">
        <v>1</v>
      </c>
      <c r="D413" s="16">
        <v>1</v>
      </c>
    </row>
    <row r="414" spans="1:4" x14ac:dyDescent="0.2">
      <c r="A414" s="14" t="s">
        <v>1311</v>
      </c>
      <c r="B414" s="16">
        <v>1</v>
      </c>
      <c r="C414" s="16"/>
      <c r="D414" s="16">
        <v>1</v>
      </c>
    </row>
    <row r="415" spans="1:4" x14ac:dyDescent="0.2">
      <c r="A415" s="15" t="s">
        <v>1270</v>
      </c>
      <c r="B415" s="16">
        <v>1</v>
      </c>
      <c r="C415" s="16"/>
      <c r="D415" s="16">
        <v>1</v>
      </c>
    </row>
    <row r="416" spans="1:4" x14ac:dyDescent="0.2">
      <c r="A416" s="14" t="s">
        <v>1309</v>
      </c>
      <c r="B416" s="16">
        <v>4</v>
      </c>
      <c r="C416" s="16">
        <v>1</v>
      </c>
      <c r="D416" s="16">
        <v>5</v>
      </c>
    </row>
    <row r="417" spans="1:4" x14ac:dyDescent="0.2">
      <c r="A417" s="15" t="s">
        <v>1254</v>
      </c>
      <c r="B417" s="16">
        <v>1</v>
      </c>
      <c r="C417" s="16"/>
      <c r="D417" s="16">
        <v>1</v>
      </c>
    </row>
    <row r="418" spans="1:4" x14ac:dyDescent="0.2">
      <c r="A418" s="15" t="s">
        <v>1274</v>
      </c>
      <c r="B418" s="16">
        <v>1</v>
      </c>
      <c r="C418" s="16"/>
      <c r="D418" s="16">
        <v>1</v>
      </c>
    </row>
    <row r="419" spans="1:4" x14ac:dyDescent="0.2">
      <c r="A419" s="15" t="s">
        <v>1248</v>
      </c>
      <c r="B419" s="16">
        <v>1</v>
      </c>
      <c r="C419" s="16"/>
      <c r="D419" s="16">
        <v>1</v>
      </c>
    </row>
    <row r="420" spans="1:4" x14ac:dyDescent="0.2">
      <c r="A420" s="15" t="s">
        <v>1320</v>
      </c>
      <c r="B420" s="16">
        <v>1</v>
      </c>
      <c r="C420" s="16"/>
      <c r="D420" s="16">
        <v>1</v>
      </c>
    </row>
    <row r="421" spans="1:4" x14ac:dyDescent="0.2">
      <c r="A421" s="15" t="s">
        <v>450</v>
      </c>
      <c r="B421" s="16"/>
      <c r="C421" s="16">
        <v>1</v>
      </c>
      <c r="D421" s="16">
        <v>1</v>
      </c>
    </row>
    <row r="422" spans="1:4" x14ac:dyDescent="0.2">
      <c r="A422" s="14" t="s">
        <v>1310</v>
      </c>
      <c r="B422" s="16">
        <v>5</v>
      </c>
      <c r="C422" s="16">
        <v>1</v>
      </c>
      <c r="D422" s="16">
        <v>6</v>
      </c>
    </row>
    <row r="423" spans="1:4" x14ac:dyDescent="0.2">
      <c r="A423" s="15" t="s">
        <v>1276</v>
      </c>
      <c r="B423" s="16">
        <v>1</v>
      </c>
      <c r="C423" s="16"/>
      <c r="D423" s="16">
        <v>1</v>
      </c>
    </row>
    <row r="424" spans="1:4" x14ac:dyDescent="0.2">
      <c r="A424" s="15" t="s">
        <v>1288</v>
      </c>
      <c r="B424" s="16">
        <v>1</v>
      </c>
      <c r="C424" s="16"/>
      <c r="D424" s="16">
        <v>1</v>
      </c>
    </row>
    <row r="425" spans="1:4" x14ac:dyDescent="0.2">
      <c r="A425" s="15" t="s">
        <v>1260</v>
      </c>
      <c r="B425" s="16">
        <v>1</v>
      </c>
      <c r="C425" s="16"/>
      <c r="D425" s="16">
        <v>1</v>
      </c>
    </row>
    <row r="426" spans="1:4" x14ac:dyDescent="0.2">
      <c r="A426" s="15" t="s">
        <v>1292</v>
      </c>
      <c r="B426" s="16">
        <v>1</v>
      </c>
      <c r="C426" s="16"/>
      <c r="D426" s="16">
        <v>1</v>
      </c>
    </row>
    <row r="427" spans="1:4" x14ac:dyDescent="0.2">
      <c r="A427" s="15" t="s">
        <v>1250</v>
      </c>
      <c r="B427" s="16">
        <v>1</v>
      </c>
      <c r="C427" s="16"/>
      <c r="D427" s="16">
        <v>1</v>
      </c>
    </row>
    <row r="428" spans="1:4" x14ac:dyDescent="0.2">
      <c r="A428" s="15" t="s">
        <v>461</v>
      </c>
      <c r="B428" s="16"/>
      <c r="C428" s="16">
        <v>1</v>
      </c>
      <c r="D428" s="16">
        <v>1</v>
      </c>
    </row>
    <row r="429" spans="1:4" x14ac:dyDescent="0.2">
      <c r="A429" s="14" t="s">
        <v>471</v>
      </c>
      <c r="B429" s="16">
        <v>4</v>
      </c>
      <c r="C429" s="16">
        <v>2</v>
      </c>
      <c r="D429" s="16">
        <v>6</v>
      </c>
    </row>
    <row r="430" spans="1:4" x14ac:dyDescent="0.2">
      <c r="A430" s="15" t="s">
        <v>470</v>
      </c>
      <c r="B430" s="16"/>
      <c r="C430" s="16">
        <v>1</v>
      </c>
      <c r="D430" s="16">
        <v>1</v>
      </c>
    </row>
    <row r="431" spans="1:4" x14ac:dyDescent="0.2">
      <c r="A431" s="15" t="s">
        <v>479</v>
      </c>
      <c r="B431" s="16"/>
      <c r="C431" s="16">
        <v>1</v>
      </c>
      <c r="D431" s="16">
        <v>1</v>
      </c>
    </row>
    <row r="432" spans="1:4" x14ac:dyDescent="0.2">
      <c r="A432" s="15" t="s">
        <v>1344</v>
      </c>
      <c r="B432" s="16">
        <v>1</v>
      </c>
      <c r="C432" s="16"/>
      <c r="D432" s="16">
        <v>1</v>
      </c>
    </row>
    <row r="433" spans="1:4" x14ac:dyDescent="0.2">
      <c r="A433" s="15" t="s">
        <v>1349</v>
      </c>
      <c r="B433" s="16">
        <v>1</v>
      </c>
      <c r="C433" s="16"/>
      <c r="D433" s="16">
        <v>1</v>
      </c>
    </row>
    <row r="434" spans="1:4" x14ac:dyDescent="0.2">
      <c r="A434" s="15" t="s">
        <v>1347</v>
      </c>
      <c r="B434" s="16">
        <v>1</v>
      </c>
      <c r="C434" s="16"/>
      <c r="D434" s="16">
        <v>1</v>
      </c>
    </row>
    <row r="435" spans="1:4" x14ac:dyDescent="0.2">
      <c r="A435" s="15" t="s">
        <v>1351</v>
      </c>
      <c r="B435" s="16">
        <v>1</v>
      </c>
      <c r="C435" s="16"/>
      <c r="D435" s="16">
        <v>1</v>
      </c>
    </row>
    <row r="436" spans="1:4" x14ac:dyDescent="0.2">
      <c r="A436" s="14" t="s">
        <v>1306</v>
      </c>
      <c r="B436" s="16">
        <v>3</v>
      </c>
      <c r="C436" s="16">
        <v>2</v>
      </c>
      <c r="D436" s="16">
        <v>5</v>
      </c>
    </row>
    <row r="437" spans="1:4" x14ac:dyDescent="0.2">
      <c r="A437" s="15" t="s">
        <v>1242</v>
      </c>
      <c r="B437" s="16">
        <v>1</v>
      </c>
      <c r="C437" s="16"/>
      <c r="D437" s="16">
        <v>1</v>
      </c>
    </row>
    <row r="438" spans="1:4" x14ac:dyDescent="0.2">
      <c r="A438" s="15" t="s">
        <v>1266</v>
      </c>
      <c r="B438" s="16">
        <v>1</v>
      </c>
      <c r="C438" s="16">
        <v>1</v>
      </c>
      <c r="D438" s="16">
        <v>2</v>
      </c>
    </row>
    <row r="439" spans="1:4" x14ac:dyDescent="0.2">
      <c r="A439" s="15" t="s">
        <v>1326</v>
      </c>
      <c r="B439" s="16">
        <v>1</v>
      </c>
      <c r="C439" s="16">
        <v>1</v>
      </c>
      <c r="D439" s="16">
        <v>2</v>
      </c>
    </row>
    <row r="440" spans="1:4" x14ac:dyDescent="0.2">
      <c r="A440" s="14" t="s">
        <v>1324</v>
      </c>
      <c r="B440" s="16">
        <v>1</v>
      </c>
      <c r="C440" s="16"/>
      <c r="D440" s="16">
        <v>1</v>
      </c>
    </row>
    <row r="441" spans="1:4" x14ac:dyDescent="0.2">
      <c r="A441" s="15" t="s">
        <v>1323</v>
      </c>
      <c r="B441" s="16">
        <v>1</v>
      </c>
      <c r="C441" s="16"/>
      <c r="D441" s="16">
        <v>1</v>
      </c>
    </row>
    <row r="442" spans="1:4" x14ac:dyDescent="0.2">
      <c r="A442" s="14" t="s">
        <v>442</v>
      </c>
      <c r="B442" s="16"/>
      <c r="C442" s="16">
        <v>1</v>
      </c>
      <c r="D442" s="16">
        <v>1</v>
      </c>
    </row>
    <row r="443" spans="1:4" x14ac:dyDescent="0.2">
      <c r="A443" s="15" t="s">
        <v>466</v>
      </c>
      <c r="B443" s="16"/>
      <c r="C443" s="16">
        <v>1</v>
      </c>
      <c r="D443" s="16">
        <v>1</v>
      </c>
    </row>
    <row r="444" spans="1:4" x14ac:dyDescent="0.2">
      <c r="A444" s="13" t="s">
        <v>749</v>
      </c>
      <c r="B444" s="16"/>
      <c r="C444" s="16">
        <v>1</v>
      </c>
      <c r="D444" s="16">
        <v>1</v>
      </c>
    </row>
    <row r="445" spans="1:4" x14ac:dyDescent="0.2">
      <c r="A445" s="14" t="s">
        <v>1460</v>
      </c>
      <c r="B445" s="16"/>
      <c r="C445" s="16">
        <v>1</v>
      </c>
      <c r="D445" s="16">
        <v>1</v>
      </c>
    </row>
    <row r="446" spans="1:4" x14ac:dyDescent="0.2">
      <c r="A446" s="15" t="s">
        <v>748</v>
      </c>
      <c r="B446" s="16"/>
      <c r="C446" s="16">
        <v>1</v>
      </c>
      <c r="D446" s="16">
        <v>1</v>
      </c>
    </row>
    <row r="447" spans="1:4" x14ac:dyDescent="0.2">
      <c r="A447" s="13" t="s">
        <v>1028</v>
      </c>
      <c r="B447" s="16">
        <v>13</v>
      </c>
      <c r="C447" s="16">
        <v>7</v>
      </c>
      <c r="D447" s="16">
        <v>20</v>
      </c>
    </row>
    <row r="448" spans="1:4" x14ac:dyDescent="0.2">
      <c r="A448" s="14" t="s">
        <v>1327</v>
      </c>
      <c r="B448" s="16">
        <v>9</v>
      </c>
      <c r="C448" s="16">
        <v>1</v>
      </c>
      <c r="D448" s="16">
        <v>10</v>
      </c>
    </row>
    <row r="449" spans="1:4" x14ac:dyDescent="0.2">
      <c r="A449" s="15" t="s">
        <v>1038</v>
      </c>
      <c r="B449" s="16"/>
      <c r="C449" s="16">
        <v>1</v>
      </c>
      <c r="D449" s="16">
        <v>1</v>
      </c>
    </row>
    <row r="450" spans="1:4" x14ac:dyDescent="0.2">
      <c r="A450" s="15" t="s">
        <v>1333</v>
      </c>
      <c r="B450" s="16">
        <v>1</v>
      </c>
      <c r="C450" s="16"/>
      <c r="D450" s="16">
        <v>1</v>
      </c>
    </row>
    <row r="451" spans="1:4" x14ac:dyDescent="0.2">
      <c r="A451" s="15" t="s">
        <v>1335</v>
      </c>
      <c r="B451" s="16">
        <v>1</v>
      </c>
      <c r="C451" s="16"/>
      <c r="D451" s="16">
        <v>1</v>
      </c>
    </row>
    <row r="452" spans="1:4" x14ac:dyDescent="0.2">
      <c r="A452" s="15" t="s">
        <v>1383</v>
      </c>
      <c r="B452" s="16">
        <v>1</v>
      </c>
      <c r="C452" s="16"/>
      <c r="D452" s="16">
        <v>1</v>
      </c>
    </row>
    <row r="453" spans="1:4" x14ac:dyDescent="0.2">
      <c r="A453" s="15" t="s">
        <v>1334</v>
      </c>
      <c r="B453" s="16">
        <v>1</v>
      </c>
      <c r="C453" s="16"/>
      <c r="D453" s="16">
        <v>1</v>
      </c>
    </row>
    <row r="454" spans="1:4" x14ac:dyDescent="0.2">
      <c r="A454" s="15" t="s">
        <v>1330</v>
      </c>
      <c r="B454" s="16">
        <v>1</v>
      </c>
      <c r="C454" s="16"/>
      <c r="D454" s="16">
        <v>1</v>
      </c>
    </row>
    <row r="455" spans="1:4" x14ac:dyDescent="0.2">
      <c r="A455" s="15" t="s">
        <v>1337</v>
      </c>
      <c r="B455" s="16">
        <v>1</v>
      </c>
      <c r="C455" s="16"/>
      <c r="D455" s="16">
        <v>1</v>
      </c>
    </row>
    <row r="456" spans="1:4" x14ac:dyDescent="0.2">
      <c r="A456" s="15" t="s">
        <v>1332</v>
      </c>
      <c r="B456" s="16">
        <v>1</v>
      </c>
      <c r="C456" s="16"/>
      <c r="D456" s="16">
        <v>1</v>
      </c>
    </row>
    <row r="457" spans="1:4" x14ac:dyDescent="0.2">
      <c r="A457" s="15" t="s">
        <v>1338</v>
      </c>
      <c r="B457" s="16">
        <v>1</v>
      </c>
      <c r="C457" s="16"/>
      <c r="D457" s="16">
        <v>1</v>
      </c>
    </row>
    <row r="458" spans="1:4" x14ac:dyDescent="0.2">
      <c r="A458" s="15" t="s">
        <v>1414</v>
      </c>
      <c r="B458" s="16">
        <v>1</v>
      </c>
      <c r="C458" s="16"/>
      <c r="D458" s="16">
        <v>1</v>
      </c>
    </row>
    <row r="459" spans="1:4" x14ac:dyDescent="0.2">
      <c r="A459" s="14" t="s">
        <v>1044</v>
      </c>
      <c r="B459" s="16">
        <v>3</v>
      </c>
      <c r="C459" s="16"/>
      <c r="D459" s="16">
        <v>3</v>
      </c>
    </row>
    <row r="460" spans="1:4" x14ac:dyDescent="0.2">
      <c r="A460" s="15" t="s">
        <v>1381</v>
      </c>
      <c r="B460" s="16">
        <v>1</v>
      </c>
      <c r="C460" s="16"/>
      <c r="D460" s="16">
        <v>1</v>
      </c>
    </row>
    <row r="461" spans="1:4" x14ac:dyDescent="0.2">
      <c r="A461" s="15" t="s">
        <v>1043</v>
      </c>
      <c r="B461" s="16">
        <v>1</v>
      </c>
      <c r="C461" s="16"/>
      <c r="D461" s="16">
        <v>1</v>
      </c>
    </row>
    <row r="462" spans="1:4" x14ac:dyDescent="0.2">
      <c r="A462" s="15" t="s">
        <v>1049</v>
      </c>
      <c r="B462" s="16">
        <v>1</v>
      </c>
      <c r="C462" s="16"/>
      <c r="D462" s="16">
        <v>1</v>
      </c>
    </row>
    <row r="463" spans="1:4" x14ac:dyDescent="0.2">
      <c r="A463" s="14" t="s">
        <v>1053</v>
      </c>
      <c r="B463" s="16"/>
      <c r="C463" s="16">
        <v>5</v>
      </c>
      <c r="D463" s="16">
        <v>5</v>
      </c>
    </row>
    <row r="464" spans="1:4" x14ac:dyDescent="0.2">
      <c r="A464" s="15" t="s">
        <v>1052</v>
      </c>
      <c r="B464" s="16"/>
      <c r="C464" s="16">
        <v>1</v>
      </c>
      <c r="D464" s="16">
        <v>1</v>
      </c>
    </row>
    <row r="465" spans="1:4" x14ac:dyDescent="0.2">
      <c r="A465" s="15" t="s">
        <v>1414</v>
      </c>
      <c r="B465" s="16"/>
      <c r="C465" s="16">
        <v>1</v>
      </c>
      <c r="D465" s="16">
        <v>1</v>
      </c>
    </row>
    <row r="466" spans="1:4" x14ac:dyDescent="0.2">
      <c r="A466" s="15" t="s">
        <v>1067</v>
      </c>
      <c r="B466" s="16"/>
      <c r="C466" s="16">
        <v>1</v>
      </c>
      <c r="D466" s="16">
        <v>1</v>
      </c>
    </row>
    <row r="467" spans="1:4" x14ac:dyDescent="0.2">
      <c r="A467" s="15" t="s">
        <v>1063</v>
      </c>
      <c r="B467" s="16"/>
      <c r="C467" s="16">
        <v>1</v>
      </c>
      <c r="D467" s="16">
        <v>1</v>
      </c>
    </row>
    <row r="468" spans="1:4" x14ac:dyDescent="0.2">
      <c r="A468" s="15" t="s">
        <v>1058</v>
      </c>
      <c r="B468" s="16"/>
      <c r="C468" s="16">
        <v>1</v>
      </c>
      <c r="D468" s="16">
        <v>1</v>
      </c>
    </row>
    <row r="469" spans="1:4" x14ac:dyDescent="0.2">
      <c r="A469" s="14" t="s">
        <v>1460</v>
      </c>
      <c r="B469" s="16">
        <v>1</v>
      </c>
      <c r="C469" s="16">
        <v>1</v>
      </c>
      <c r="D469" s="16">
        <v>2</v>
      </c>
    </row>
    <row r="470" spans="1:4" x14ac:dyDescent="0.2">
      <c r="A470" s="15" t="s">
        <v>1027</v>
      </c>
      <c r="B470" s="16">
        <v>1</v>
      </c>
      <c r="C470" s="16">
        <v>1</v>
      </c>
      <c r="D470" s="16">
        <v>2</v>
      </c>
    </row>
    <row r="471" spans="1:4" x14ac:dyDescent="0.2">
      <c r="A471" s="13" t="s">
        <v>1459</v>
      </c>
      <c r="B471" s="16">
        <v>278</v>
      </c>
      <c r="C471" s="16">
        <v>110</v>
      </c>
      <c r="D471" s="16">
        <v>388</v>
      </c>
    </row>
  </sheetData>
  <pageMargins left="0.2361111111111111" right="0.2361111111111111" top="0.75" bottom="0.75" header="0.31944444444444442" footer="0.31944444444444442"/>
  <pageSetup orientation="landscape" r:id="rId2"/>
  <headerFooter>
    <oddFooter>&amp;CPage &amp;P of &amp;N</oddFooter>
  </headerFooter>
  <customProperties>
    <customPr name="SheetType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413"/>
  <sheetViews>
    <sheetView tabSelected="1" zoomScale="85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8" sqref="D8"/>
    </sheetView>
  </sheetViews>
  <sheetFormatPr defaultColWidth="9.140625" defaultRowHeight="12.75" x14ac:dyDescent="0.2"/>
  <cols>
    <col min="1" max="1" width="14.7109375" bestFit="1" customWidth="1"/>
    <col min="2" max="2" width="17.85546875" customWidth="1"/>
    <col min="3" max="3" width="14.42578125" customWidth="1"/>
    <col min="4" max="4" width="55.5703125" customWidth="1"/>
    <col min="5" max="5" width="48.28515625" customWidth="1"/>
    <col min="6" max="6" width="40.28515625" customWidth="1"/>
    <col min="7" max="7" width="31.7109375" customWidth="1"/>
    <col min="8" max="8" width="35.7109375" customWidth="1"/>
    <col min="9" max="10" width="23.28515625" customWidth="1"/>
    <col min="11" max="11" width="41.140625" bestFit="1" customWidth="1"/>
    <col min="12" max="13" width="23.28515625" customWidth="1"/>
    <col min="14" max="14" width="26.7109375" bestFit="1" customWidth="1"/>
    <col min="15" max="16" width="23.28515625" customWidth="1"/>
    <col min="17" max="17" width="29.28515625" bestFit="1" customWidth="1"/>
    <col min="18" max="18" width="75.28515625" style="24" customWidth="1"/>
    <col min="19" max="16384" width="9.140625" style="3"/>
  </cols>
  <sheetData>
    <row r="1" spans="1:18" s="28" customFormat="1" x14ac:dyDescent="0.2">
      <c r="A1" s="1" t="s">
        <v>1554</v>
      </c>
      <c r="B1" s="1" t="s">
        <v>0</v>
      </c>
      <c r="C1" s="4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1604</v>
      </c>
      <c r="R1" s="23" t="s">
        <v>1495</v>
      </c>
    </row>
    <row r="2" spans="1:18" x14ac:dyDescent="0.2">
      <c r="A2" s="3" t="str">
        <f t="shared" ref="A2:A65" si="0">_xlfn.CONCAT(L2,I2,C2)</f>
        <v>VECAA_SUBC8</v>
      </c>
      <c r="B2" s="6" t="s">
        <v>23</v>
      </c>
      <c r="C2" s="6" t="s">
        <v>1037</v>
      </c>
      <c r="D2" s="6" t="s">
        <v>1038</v>
      </c>
      <c r="E2" s="6" t="s">
        <v>1327</v>
      </c>
      <c r="F2" s="6" t="s">
        <v>1028</v>
      </c>
      <c r="G2" s="6" t="s">
        <v>1039</v>
      </c>
      <c r="H2" s="6" t="s">
        <v>1040</v>
      </c>
      <c r="I2" s="6" t="s">
        <v>1034</v>
      </c>
      <c r="J2" s="6" t="s">
        <v>1329</v>
      </c>
      <c r="K2" s="6" t="s">
        <v>1328</v>
      </c>
      <c r="L2" s="6" t="s">
        <v>1029</v>
      </c>
      <c r="M2" s="6" t="s">
        <v>1030</v>
      </c>
      <c r="N2" s="6" t="s">
        <v>1030</v>
      </c>
      <c r="O2" s="6" t="s">
        <v>1030</v>
      </c>
      <c r="P2" s="6" t="s">
        <v>1030</v>
      </c>
      <c r="Q2" s="6" t="str">
        <f t="shared" ref="Q2" si="1">IF(J2&lt;&gt;"",J2,_xlfn.CONCAT(O2," Other"))</f>
        <v>AIS</v>
      </c>
    </row>
    <row r="3" spans="1:18" x14ac:dyDescent="0.2">
      <c r="A3" s="3" t="str">
        <f t="shared" si="0"/>
        <v>VECAA_SUBXH</v>
      </c>
      <c r="B3" s="6" t="s">
        <v>23</v>
      </c>
      <c r="C3" s="6" t="s">
        <v>1069</v>
      </c>
      <c r="D3" s="30" t="s">
        <v>1745</v>
      </c>
      <c r="E3" s="6" t="s">
        <v>1327</v>
      </c>
      <c r="F3" s="6" t="s">
        <v>1028</v>
      </c>
      <c r="G3" s="6" t="s">
        <v>1753</v>
      </c>
      <c r="H3" s="6" t="s">
        <v>1754</v>
      </c>
      <c r="I3" s="6" t="s">
        <v>1034</v>
      </c>
      <c r="J3" s="6" t="s">
        <v>1329</v>
      </c>
      <c r="K3" s="6" t="s">
        <v>1328</v>
      </c>
      <c r="L3" s="6" t="s">
        <v>1029</v>
      </c>
      <c r="M3" s="6" t="s">
        <v>1030</v>
      </c>
      <c r="N3" s="6" t="s">
        <v>1030</v>
      </c>
      <c r="O3" s="6" t="s">
        <v>1030</v>
      </c>
      <c r="P3" s="6" t="s">
        <v>1030</v>
      </c>
      <c r="Q3" s="6" t="str">
        <f t="shared" ref="Q3:Q66" si="2">IF(J3&lt;&gt;"",J3,_xlfn.CONCAT(O3," Other"))</f>
        <v>AIS</v>
      </c>
      <c r="R3" s="21" t="s">
        <v>1614</v>
      </c>
    </row>
    <row r="4" spans="1:18" x14ac:dyDescent="0.2">
      <c r="A4" s="3" t="str">
        <f t="shared" si="0"/>
        <v>F10AD_SUBR0</v>
      </c>
      <c r="B4" s="6" t="s">
        <v>15</v>
      </c>
      <c r="C4" s="6" t="s">
        <v>207</v>
      </c>
      <c r="D4" s="6" t="s">
        <v>208</v>
      </c>
      <c r="E4" s="6" t="s">
        <v>195</v>
      </c>
      <c r="F4" s="6" t="s">
        <v>189</v>
      </c>
      <c r="G4" s="6" t="s">
        <v>209</v>
      </c>
      <c r="H4" s="6" t="s">
        <v>209</v>
      </c>
      <c r="I4" s="6" t="s">
        <v>197</v>
      </c>
      <c r="J4" s="6" t="s">
        <v>198</v>
      </c>
      <c r="K4" s="6" t="s">
        <v>199</v>
      </c>
      <c r="L4" s="6" t="s">
        <v>191</v>
      </c>
      <c r="M4" s="6" t="s">
        <v>192</v>
      </c>
      <c r="N4" s="6" t="s">
        <v>192</v>
      </c>
      <c r="O4" s="6" t="s">
        <v>192</v>
      </c>
      <c r="P4" s="6" t="s">
        <v>192</v>
      </c>
      <c r="Q4" s="6" t="str">
        <f t="shared" si="2"/>
        <v>Practice &amp; Acct Marketing</v>
      </c>
    </row>
    <row r="5" spans="1:18" x14ac:dyDescent="0.2">
      <c r="A5" s="3" t="str">
        <f t="shared" si="0"/>
        <v>F3GF_SUBDV</v>
      </c>
      <c r="B5" s="6" t="s">
        <v>23</v>
      </c>
      <c r="C5" s="6" t="s">
        <v>615</v>
      </c>
      <c r="D5" s="6" t="s">
        <v>616</v>
      </c>
      <c r="E5" s="6" t="s">
        <v>597</v>
      </c>
      <c r="F5" s="6" t="s">
        <v>573</v>
      </c>
      <c r="G5" s="6" t="s">
        <v>617</v>
      </c>
      <c r="H5" s="6" t="s">
        <v>618</v>
      </c>
      <c r="I5" s="6" t="s">
        <v>600</v>
      </c>
      <c r="J5" s="6" t="s">
        <v>601</v>
      </c>
      <c r="K5" s="6" t="s">
        <v>601</v>
      </c>
      <c r="L5" s="6" t="s">
        <v>575</v>
      </c>
      <c r="M5" s="6" t="s">
        <v>576</v>
      </c>
      <c r="N5" s="6" t="s">
        <v>576</v>
      </c>
      <c r="O5" s="6" t="s">
        <v>576</v>
      </c>
      <c r="P5" s="6" t="s">
        <v>576</v>
      </c>
      <c r="Q5" s="6" t="str">
        <f t="shared" si="2"/>
        <v>Global Finance</v>
      </c>
    </row>
    <row r="6" spans="1:18" s="6" customFormat="1" ht="15" x14ac:dyDescent="0.25">
      <c r="A6" s="3" t="str">
        <f t="shared" si="0"/>
        <v>VECID_SUBAT</v>
      </c>
      <c r="B6" s="6" t="s">
        <v>23</v>
      </c>
      <c r="C6" s="6" t="s">
        <v>1051</v>
      </c>
      <c r="D6" s="6" t="s">
        <v>1052</v>
      </c>
      <c r="E6" s="6" t="s">
        <v>1053</v>
      </c>
      <c r="F6" s="6" t="s">
        <v>1028</v>
      </c>
      <c r="G6" s="11" t="s">
        <v>1055</v>
      </c>
      <c r="H6" s="11" t="s">
        <v>1056</v>
      </c>
      <c r="I6" s="6" t="s">
        <v>1054</v>
      </c>
      <c r="J6" s="6" t="s">
        <v>1055</v>
      </c>
      <c r="K6" s="6" t="s">
        <v>1056</v>
      </c>
      <c r="L6" s="6" t="s">
        <v>1029</v>
      </c>
      <c r="M6" s="6" t="s">
        <v>1030</v>
      </c>
      <c r="N6" s="6" t="s">
        <v>1030</v>
      </c>
      <c r="O6" s="6" t="s">
        <v>1030</v>
      </c>
      <c r="P6" s="6" t="s">
        <v>1030</v>
      </c>
      <c r="Q6" s="6" t="str">
        <f t="shared" si="2"/>
        <v>I&amp;D</v>
      </c>
      <c r="R6" s="21"/>
    </row>
    <row r="7" spans="1:18" s="6" customFormat="1" x14ac:dyDescent="0.2">
      <c r="A7" s="3" t="str">
        <f t="shared" si="0"/>
        <v>F2EC_SUBL6</v>
      </c>
      <c r="B7" s="6" t="s">
        <v>15</v>
      </c>
      <c r="C7" s="6" t="s">
        <v>521</v>
      </c>
      <c r="D7" s="6" t="s">
        <v>522</v>
      </c>
      <c r="E7" s="6" t="s">
        <v>504</v>
      </c>
      <c r="F7" s="6" t="s">
        <v>505</v>
      </c>
      <c r="G7" s="6" t="s">
        <v>1388</v>
      </c>
      <c r="H7" s="6" t="s">
        <v>523</v>
      </c>
      <c r="I7" s="6" t="s">
        <v>507</v>
      </c>
      <c r="J7" s="6" t="s">
        <v>508</v>
      </c>
      <c r="K7" s="6" t="s">
        <v>509</v>
      </c>
      <c r="L7" s="6" t="s">
        <v>492</v>
      </c>
      <c r="M7" s="6" t="s">
        <v>493</v>
      </c>
      <c r="N7" s="6" t="s">
        <v>493</v>
      </c>
      <c r="O7" s="6" t="s">
        <v>510</v>
      </c>
      <c r="P7" s="6" t="s">
        <v>511</v>
      </c>
      <c r="Q7" s="6" t="str">
        <f t="shared" si="2"/>
        <v>Expert Cons.</v>
      </c>
      <c r="R7" s="21"/>
    </row>
    <row r="8" spans="1:18" s="6" customFormat="1" x14ac:dyDescent="0.2">
      <c r="A8" s="3" t="str">
        <f t="shared" si="0"/>
        <v>F2EC_SUBL7</v>
      </c>
      <c r="B8" s="6" t="s">
        <v>15</v>
      </c>
      <c r="C8" s="6" t="s">
        <v>524</v>
      </c>
      <c r="D8" s="6" t="s">
        <v>525</v>
      </c>
      <c r="E8" s="6" t="s">
        <v>504</v>
      </c>
      <c r="F8" s="6" t="s">
        <v>505</v>
      </c>
      <c r="G8" s="6" t="s">
        <v>1389</v>
      </c>
      <c r="H8" s="6" t="s">
        <v>526</v>
      </c>
      <c r="I8" s="6" t="s">
        <v>507</v>
      </c>
      <c r="J8" s="6" t="s">
        <v>508</v>
      </c>
      <c r="K8" s="6" t="s">
        <v>509</v>
      </c>
      <c r="L8" s="6" t="s">
        <v>492</v>
      </c>
      <c r="M8" s="6" t="s">
        <v>493</v>
      </c>
      <c r="N8" s="6" t="s">
        <v>493</v>
      </c>
      <c r="O8" s="6" t="s">
        <v>510</v>
      </c>
      <c r="P8" s="6" t="s">
        <v>511</v>
      </c>
      <c r="Q8" s="6" t="str">
        <f t="shared" si="2"/>
        <v>Expert Cons.</v>
      </c>
      <c r="R8" s="21"/>
    </row>
    <row r="9" spans="1:18" s="6" customFormat="1" x14ac:dyDescent="0.2">
      <c r="A9" s="3" t="str">
        <f t="shared" si="0"/>
        <v>F15SP_SUBD3</v>
      </c>
      <c r="B9" s="6" t="s">
        <v>23</v>
      </c>
      <c r="C9" s="6" t="s">
        <v>348</v>
      </c>
      <c r="D9" s="6" t="s">
        <v>349</v>
      </c>
      <c r="E9" s="6" t="s">
        <v>337</v>
      </c>
      <c r="F9" s="6" t="s">
        <v>314</v>
      </c>
      <c r="G9" s="6" t="s">
        <v>350</v>
      </c>
      <c r="H9" s="6" t="s">
        <v>351</v>
      </c>
      <c r="I9" s="6" t="s">
        <v>338</v>
      </c>
      <c r="J9" s="6" t="s">
        <v>339</v>
      </c>
      <c r="K9" s="6" t="s">
        <v>339</v>
      </c>
      <c r="L9" s="6" t="s">
        <v>317</v>
      </c>
      <c r="M9" s="6" t="s">
        <v>318</v>
      </c>
      <c r="N9" s="6" t="s">
        <v>319</v>
      </c>
      <c r="O9" s="6" t="s">
        <v>318</v>
      </c>
      <c r="P9" s="6" t="s">
        <v>319</v>
      </c>
      <c r="Q9" s="6" t="str">
        <f t="shared" si="2"/>
        <v>Practice Teams</v>
      </c>
      <c r="R9" s="25" t="s">
        <v>1498</v>
      </c>
    </row>
    <row r="10" spans="1:18" s="6" customFormat="1" x14ac:dyDescent="0.2">
      <c r="A10" s="3" t="str">
        <f t="shared" si="0"/>
        <v>F15SP_SUBE1</v>
      </c>
      <c r="B10" s="6" t="s">
        <v>15</v>
      </c>
      <c r="C10" s="6" t="s">
        <v>368</v>
      </c>
      <c r="D10" s="6" t="s">
        <v>369</v>
      </c>
      <c r="E10" s="6" t="s">
        <v>337</v>
      </c>
      <c r="F10" s="6" t="s">
        <v>314</v>
      </c>
      <c r="G10" s="6" t="s">
        <v>370</v>
      </c>
      <c r="H10" s="6" t="s">
        <v>371</v>
      </c>
      <c r="I10" s="6" t="s">
        <v>338</v>
      </c>
      <c r="J10" s="6" t="s">
        <v>339</v>
      </c>
      <c r="K10" s="6" t="s">
        <v>339</v>
      </c>
      <c r="L10" s="6" t="s">
        <v>317</v>
      </c>
      <c r="M10" s="6" t="s">
        <v>318</v>
      </c>
      <c r="N10" s="6" t="s">
        <v>319</v>
      </c>
      <c r="O10" s="6" t="s">
        <v>318</v>
      </c>
      <c r="P10" s="6" t="s">
        <v>319</v>
      </c>
      <c r="Q10" s="6" t="str">
        <f t="shared" si="2"/>
        <v>Practice Teams</v>
      </c>
      <c r="R10" s="21"/>
    </row>
    <row r="11" spans="1:18" s="6" customFormat="1" x14ac:dyDescent="0.2">
      <c r="A11" s="3" t="str">
        <f t="shared" si="0"/>
        <v>F1NEW_GC_SUBAD</v>
      </c>
      <c r="B11" s="3" t="s">
        <v>15</v>
      </c>
      <c r="C11" s="3" t="s">
        <v>173</v>
      </c>
      <c r="D11" s="3" t="s">
        <v>174</v>
      </c>
      <c r="E11" s="3" t="s">
        <v>175</v>
      </c>
      <c r="F11" s="3" t="s">
        <v>176</v>
      </c>
      <c r="G11" s="3" t="s">
        <v>177</v>
      </c>
      <c r="H11" s="3" t="s">
        <v>177</v>
      </c>
      <c r="I11" s="3" t="s">
        <v>178</v>
      </c>
      <c r="J11" s="3" t="s">
        <v>179</v>
      </c>
      <c r="K11" s="3" t="s">
        <v>180</v>
      </c>
      <c r="L11" s="3" t="s">
        <v>181</v>
      </c>
      <c r="M11" s="3" t="s">
        <v>182</v>
      </c>
      <c r="N11" s="3" t="s">
        <v>182</v>
      </c>
      <c r="O11" s="3" t="s">
        <v>183</v>
      </c>
      <c r="P11" s="3" t="s">
        <v>180</v>
      </c>
      <c r="Q11" s="6" t="str">
        <f t="shared" si="2"/>
        <v>Gen. Cons.</v>
      </c>
      <c r="R11" s="21"/>
    </row>
    <row r="12" spans="1:18" s="6" customFormat="1" x14ac:dyDescent="0.2">
      <c r="A12" s="3" t="str">
        <f t="shared" si="0"/>
        <v>F1NEW_GC_SUBAP</v>
      </c>
      <c r="B12" s="3" t="s">
        <v>15</v>
      </c>
      <c r="C12" s="3" t="s">
        <v>184</v>
      </c>
      <c r="D12" s="3" t="s">
        <v>185</v>
      </c>
      <c r="E12" s="3" t="s">
        <v>175</v>
      </c>
      <c r="F12" s="3" t="s">
        <v>176</v>
      </c>
      <c r="G12" s="3" t="s">
        <v>186</v>
      </c>
      <c r="H12" s="3" t="s">
        <v>186</v>
      </c>
      <c r="I12" s="3" t="s">
        <v>178</v>
      </c>
      <c r="J12" s="3" t="s">
        <v>179</v>
      </c>
      <c r="K12" s="3" t="s">
        <v>180</v>
      </c>
      <c r="L12" s="3" t="s">
        <v>181</v>
      </c>
      <c r="M12" s="3" t="s">
        <v>182</v>
      </c>
      <c r="N12" s="3" t="s">
        <v>182</v>
      </c>
      <c r="O12" s="3" t="s">
        <v>183</v>
      </c>
      <c r="P12" s="3" t="s">
        <v>180</v>
      </c>
      <c r="Q12" s="6" t="str">
        <f t="shared" si="2"/>
        <v>Gen. Cons.</v>
      </c>
      <c r="R12" s="21"/>
    </row>
    <row r="13" spans="1:18" s="6" customFormat="1" x14ac:dyDescent="0.2">
      <c r="A13" s="3" t="str">
        <f t="shared" si="0"/>
        <v>F15SP_SUBAN</v>
      </c>
      <c r="B13" s="6" t="s">
        <v>23</v>
      </c>
      <c r="C13" s="6" t="s">
        <v>336</v>
      </c>
      <c r="D13" s="6" t="s">
        <v>1380</v>
      </c>
      <c r="E13" s="6" t="s">
        <v>337</v>
      </c>
      <c r="F13" s="6" t="s">
        <v>314</v>
      </c>
      <c r="G13" s="6" t="s">
        <v>1396</v>
      </c>
      <c r="H13" s="6" t="s">
        <v>1397</v>
      </c>
      <c r="I13" s="6" t="s">
        <v>338</v>
      </c>
      <c r="J13" s="6" t="s">
        <v>339</v>
      </c>
      <c r="K13" s="6" t="s">
        <v>339</v>
      </c>
      <c r="L13" s="6" t="s">
        <v>317</v>
      </c>
      <c r="M13" s="6" t="s">
        <v>318</v>
      </c>
      <c r="N13" s="6" t="s">
        <v>319</v>
      </c>
      <c r="O13" s="6" t="s">
        <v>318</v>
      </c>
      <c r="P13" s="6" t="s">
        <v>319</v>
      </c>
      <c r="Q13" s="6" t="str">
        <f t="shared" si="2"/>
        <v>Practice Teams</v>
      </c>
      <c r="R13" s="21" t="s">
        <v>1499</v>
      </c>
    </row>
    <row r="14" spans="1:18" s="6" customFormat="1" x14ac:dyDescent="0.2">
      <c r="A14" s="3" t="str">
        <f t="shared" si="0"/>
        <v>F15SP_SUBIV</v>
      </c>
      <c r="B14" s="6" t="s">
        <v>23</v>
      </c>
      <c r="C14" s="6" t="s">
        <v>394</v>
      </c>
      <c r="D14" s="6" t="s">
        <v>1380</v>
      </c>
      <c r="E14" s="6" t="s">
        <v>337</v>
      </c>
      <c r="F14" s="6" t="s">
        <v>314</v>
      </c>
      <c r="G14" s="6" t="s">
        <v>1396</v>
      </c>
      <c r="H14" s="6" t="s">
        <v>1397</v>
      </c>
      <c r="I14" s="6" t="s">
        <v>338</v>
      </c>
      <c r="J14" s="6" t="s">
        <v>339</v>
      </c>
      <c r="K14" s="6" t="s">
        <v>339</v>
      </c>
      <c r="L14" s="6" t="s">
        <v>317</v>
      </c>
      <c r="M14" s="6" t="s">
        <v>318</v>
      </c>
      <c r="N14" s="6" t="s">
        <v>319</v>
      </c>
      <c r="O14" s="6" t="s">
        <v>318</v>
      </c>
      <c r="P14" s="6" t="s">
        <v>319</v>
      </c>
      <c r="Q14" s="6" t="str">
        <f t="shared" si="2"/>
        <v>Practice Teams</v>
      </c>
      <c r="R14" s="21" t="s">
        <v>1499</v>
      </c>
    </row>
    <row r="15" spans="1:18" s="6" customFormat="1" x14ac:dyDescent="0.2">
      <c r="A15" s="3" t="str">
        <f t="shared" si="0"/>
        <v>F15SP_SUBHG</v>
      </c>
      <c r="B15" s="6" t="s">
        <v>15</v>
      </c>
      <c r="C15" s="6" t="s">
        <v>1375</v>
      </c>
      <c r="D15" s="6" t="s">
        <v>1380</v>
      </c>
      <c r="E15" s="6" t="s">
        <v>337</v>
      </c>
      <c r="F15" s="6" t="s">
        <v>314</v>
      </c>
      <c r="G15" s="6" t="s">
        <v>1396</v>
      </c>
      <c r="H15" s="6" t="s">
        <v>1397</v>
      </c>
      <c r="I15" s="6" t="s">
        <v>338</v>
      </c>
      <c r="J15" s="6" t="s">
        <v>339</v>
      </c>
      <c r="K15" s="6" t="s">
        <v>339</v>
      </c>
      <c r="L15" s="6" t="s">
        <v>317</v>
      </c>
      <c r="M15" s="6" t="s">
        <v>318</v>
      </c>
      <c r="N15" s="6" t="s">
        <v>319</v>
      </c>
      <c r="O15" s="6" t="s">
        <v>318</v>
      </c>
      <c r="P15" s="6" t="s">
        <v>319</v>
      </c>
      <c r="Q15" s="6" t="str">
        <f t="shared" si="2"/>
        <v>Practice Teams</v>
      </c>
      <c r="R15" s="21" t="s">
        <v>1552</v>
      </c>
    </row>
    <row r="16" spans="1:18" s="6" customFormat="1" x14ac:dyDescent="0.2">
      <c r="A16" s="3" t="str">
        <f t="shared" si="0"/>
        <v>VECAA_SUBEJ</v>
      </c>
      <c r="B16" s="6" t="s">
        <v>23</v>
      </c>
      <c r="C16" s="6" t="s">
        <v>1240</v>
      </c>
      <c r="D16" s="6" t="s">
        <v>1330</v>
      </c>
      <c r="E16" s="6" t="s">
        <v>1327</v>
      </c>
      <c r="F16" s="6" t="s">
        <v>1028</v>
      </c>
      <c r="G16" s="6" t="s">
        <v>1336</v>
      </c>
      <c r="H16" s="6" t="s">
        <v>1331</v>
      </c>
      <c r="I16" s="6" t="s">
        <v>1034</v>
      </c>
      <c r="J16" s="6" t="s">
        <v>1329</v>
      </c>
      <c r="K16" s="6" t="s">
        <v>1328</v>
      </c>
      <c r="L16" s="6" t="s">
        <v>1029</v>
      </c>
      <c r="M16" s="6" t="s">
        <v>1030</v>
      </c>
      <c r="N16" s="6" t="s">
        <v>1030</v>
      </c>
      <c r="O16" s="6" t="s">
        <v>1030</v>
      </c>
      <c r="P16" s="6" t="s">
        <v>1030</v>
      </c>
      <c r="Q16" s="6" t="str">
        <f t="shared" si="2"/>
        <v>AIS</v>
      </c>
      <c r="R16" s="21" t="s">
        <v>1612</v>
      </c>
    </row>
    <row r="17" spans="1:18" s="6" customFormat="1" x14ac:dyDescent="0.2">
      <c r="A17" s="3" t="str">
        <f t="shared" si="0"/>
        <v>VECAA_SUBC6</v>
      </c>
      <c r="B17" s="6" t="s">
        <v>23</v>
      </c>
      <c r="C17" s="6" t="s">
        <v>1036</v>
      </c>
      <c r="D17" s="6" t="s">
        <v>1330</v>
      </c>
      <c r="E17" s="6" t="s">
        <v>1327</v>
      </c>
      <c r="F17" s="6" t="s">
        <v>1028</v>
      </c>
      <c r="G17" s="6" t="s">
        <v>1336</v>
      </c>
      <c r="H17" s="6" t="s">
        <v>1331</v>
      </c>
      <c r="I17" s="6" t="s">
        <v>1034</v>
      </c>
      <c r="J17" s="6" t="s">
        <v>1329</v>
      </c>
      <c r="K17" s="6" t="s">
        <v>1328</v>
      </c>
      <c r="L17" s="6" t="s">
        <v>1029</v>
      </c>
      <c r="M17" s="6" t="s">
        <v>1030</v>
      </c>
      <c r="N17" s="6" t="s">
        <v>1030</v>
      </c>
      <c r="O17" s="6" t="s">
        <v>1030</v>
      </c>
      <c r="P17" s="6" t="s">
        <v>1030</v>
      </c>
      <c r="Q17" s="6" t="str">
        <f t="shared" si="2"/>
        <v>AIS</v>
      </c>
      <c r="R17" s="21" t="s">
        <v>1612</v>
      </c>
    </row>
    <row r="18" spans="1:18" s="6" customFormat="1" x14ac:dyDescent="0.2">
      <c r="A18" s="3" t="str">
        <f t="shared" si="0"/>
        <v>VECAA_SUBMK</v>
      </c>
      <c r="B18" s="6" t="s">
        <v>15</v>
      </c>
      <c r="C18" s="6" t="s">
        <v>1041</v>
      </c>
      <c r="D18" s="6" t="s">
        <v>1330</v>
      </c>
      <c r="E18" s="6" t="s">
        <v>1327</v>
      </c>
      <c r="F18" s="6" t="s">
        <v>1028</v>
      </c>
      <c r="G18" s="6" t="s">
        <v>1336</v>
      </c>
      <c r="H18" s="6" t="s">
        <v>1331</v>
      </c>
      <c r="I18" s="6" t="s">
        <v>1034</v>
      </c>
      <c r="J18" s="6" t="s">
        <v>1329</v>
      </c>
      <c r="K18" s="6" t="s">
        <v>1328</v>
      </c>
      <c r="L18" s="6" t="s">
        <v>1029</v>
      </c>
      <c r="M18" s="6" t="s">
        <v>1030</v>
      </c>
      <c r="N18" s="6" t="s">
        <v>1030</v>
      </c>
      <c r="O18" s="6" t="s">
        <v>1030</v>
      </c>
      <c r="P18" s="6" t="s">
        <v>1030</v>
      </c>
      <c r="Q18" s="6" t="str">
        <f t="shared" si="2"/>
        <v>AIS</v>
      </c>
      <c r="R18" s="21" t="s">
        <v>1630</v>
      </c>
    </row>
    <row r="19" spans="1:18" s="6" customFormat="1" x14ac:dyDescent="0.2">
      <c r="A19" s="3" t="str">
        <f t="shared" si="0"/>
        <v>VECAA_SUBC9</v>
      </c>
      <c r="B19" s="6" t="s">
        <v>15</v>
      </c>
      <c r="C19" s="6" t="s">
        <v>1060</v>
      </c>
      <c r="D19" s="30" t="s">
        <v>1745</v>
      </c>
      <c r="E19" s="6" t="s">
        <v>1327</v>
      </c>
      <c r="F19" s="6" t="s">
        <v>1028</v>
      </c>
      <c r="G19" s="6" t="s">
        <v>1753</v>
      </c>
      <c r="H19" s="6" t="s">
        <v>1754</v>
      </c>
      <c r="I19" s="6" t="s">
        <v>1034</v>
      </c>
      <c r="J19" s="6" t="s">
        <v>1329</v>
      </c>
      <c r="K19" s="6" t="s">
        <v>1328</v>
      </c>
      <c r="L19" s="6" t="s">
        <v>1029</v>
      </c>
      <c r="M19" s="6" t="s">
        <v>1030</v>
      </c>
      <c r="N19" s="6" t="s">
        <v>1030</v>
      </c>
      <c r="O19" s="6" t="s">
        <v>1030</v>
      </c>
      <c r="P19" s="6" t="s">
        <v>1030</v>
      </c>
      <c r="Q19" s="6" t="str">
        <f t="shared" si="2"/>
        <v>AIS</v>
      </c>
      <c r="R19" s="21" t="s">
        <v>1613</v>
      </c>
    </row>
    <row r="20" spans="1:18" s="6" customFormat="1" x14ac:dyDescent="0.2">
      <c r="A20" s="3" t="str">
        <f t="shared" si="0"/>
        <v>BCIJ</v>
      </c>
      <c r="B20" s="6" t="s">
        <v>15</v>
      </c>
      <c r="C20" s="20" t="s">
        <v>1605</v>
      </c>
      <c r="D20" s="30" t="s">
        <v>63</v>
      </c>
      <c r="E20" s="3"/>
      <c r="F20" s="6" t="s">
        <v>19</v>
      </c>
      <c r="G20" s="6" t="s">
        <v>64</v>
      </c>
      <c r="H20" s="6" t="s">
        <v>64</v>
      </c>
      <c r="I20" s="3"/>
      <c r="J20" s="3"/>
      <c r="K20" s="3"/>
      <c r="L20" s="6" t="s">
        <v>22</v>
      </c>
      <c r="M20" s="6" t="s">
        <v>20</v>
      </c>
      <c r="N20" s="6" t="s">
        <v>21</v>
      </c>
      <c r="O20" s="6" t="s">
        <v>20</v>
      </c>
      <c r="P20" s="6" t="s">
        <v>21</v>
      </c>
      <c r="Q20" s="6" t="str">
        <f t="shared" si="2"/>
        <v>BCN Other</v>
      </c>
      <c r="R20" s="21" t="s">
        <v>1606</v>
      </c>
    </row>
    <row r="21" spans="1:18" s="6" customFormat="1" x14ac:dyDescent="0.2">
      <c r="A21" s="3" t="str">
        <f t="shared" si="0"/>
        <v>VECAA_SUBBZ</v>
      </c>
      <c r="B21" s="6" t="s">
        <v>23</v>
      </c>
      <c r="C21" s="6" t="s">
        <v>1033</v>
      </c>
      <c r="D21" s="20" t="s">
        <v>1574</v>
      </c>
      <c r="E21" s="6" t="s">
        <v>1327</v>
      </c>
      <c r="F21" s="6" t="s">
        <v>1028</v>
      </c>
      <c r="G21" s="20" t="s">
        <v>1576</v>
      </c>
      <c r="H21" s="20" t="s">
        <v>1575</v>
      </c>
      <c r="I21" s="6" t="s">
        <v>1034</v>
      </c>
      <c r="J21" s="6" t="s">
        <v>1329</v>
      </c>
      <c r="K21" s="6" t="s">
        <v>1328</v>
      </c>
      <c r="L21" s="6" t="s">
        <v>1029</v>
      </c>
      <c r="M21" s="6" t="s">
        <v>1030</v>
      </c>
      <c r="N21" s="6" t="s">
        <v>1030</v>
      </c>
      <c r="O21" s="6" t="s">
        <v>1030</v>
      </c>
      <c r="P21" s="6" t="s">
        <v>1030</v>
      </c>
      <c r="Q21" s="6" t="str">
        <f t="shared" si="2"/>
        <v>AIS</v>
      </c>
      <c r="R21" s="21" t="s">
        <v>1611</v>
      </c>
    </row>
    <row r="22" spans="1:18" s="6" customFormat="1" x14ac:dyDescent="0.2">
      <c r="A22" s="3" t="str">
        <f t="shared" si="0"/>
        <v>VECAA_SUBHF</v>
      </c>
      <c r="B22" s="6" t="s">
        <v>23</v>
      </c>
      <c r="C22" s="6" t="s">
        <v>1378</v>
      </c>
      <c r="D22" s="20" t="s">
        <v>1574</v>
      </c>
      <c r="E22" s="6" t="s">
        <v>1327</v>
      </c>
      <c r="F22" s="6" t="s">
        <v>1028</v>
      </c>
      <c r="G22" s="20" t="s">
        <v>1576</v>
      </c>
      <c r="H22" s="20" t="s">
        <v>1575</v>
      </c>
      <c r="I22" s="6" t="s">
        <v>1034</v>
      </c>
      <c r="J22" s="6" t="s">
        <v>1329</v>
      </c>
      <c r="K22" s="6" t="s">
        <v>1328</v>
      </c>
      <c r="L22" s="6" t="s">
        <v>1029</v>
      </c>
      <c r="M22" s="6" t="s">
        <v>1030</v>
      </c>
      <c r="N22" s="6" t="s">
        <v>1030</v>
      </c>
      <c r="O22" s="6" t="s">
        <v>1030</v>
      </c>
      <c r="P22" s="6" t="s">
        <v>1030</v>
      </c>
      <c r="Q22" s="6" t="str">
        <f t="shared" si="2"/>
        <v>AIS</v>
      </c>
      <c r="R22" s="21" t="s">
        <v>1611</v>
      </c>
    </row>
    <row r="23" spans="1:18" s="6" customFormat="1" x14ac:dyDescent="0.2">
      <c r="A23" s="3" t="str">
        <f t="shared" si="0"/>
        <v>VECAA_SUBC5</v>
      </c>
      <c r="B23" s="6" t="s">
        <v>23</v>
      </c>
      <c r="C23" s="6" t="s">
        <v>1035</v>
      </c>
      <c r="D23" s="20" t="s">
        <v>1574</v>
      </c>
      <c r="E23" s="6" t="s">
        <v>1327</v>
      </c>
      <c r="F23" s="6" t="s">
        <v>1028</v>
      </c>
      <c r="G23" s="20" t="s">
        <v>1576</v>
      </c>
      <c r="H23" s="20" t="s">
        <v>1575</v>
      </c>
      <c r="I23" s="6" t="s">
        <v>1034</v>
      </c>
      <c r="J23" s="6" t="s">
        <v>1329</v>
      </c>
      <c r="K23" s="6" t="s">
        <v>1328</v>
      </c>
      <c r="L23" s="6" t="s">
        <v>1029</v>
      </c>
      <c r="M23" s="6" t="s">
        <v>1030</v>
      </c>
      <c r="N23" s="6" t="s">
        <v>1030</v>
      </c>
      <c r="O23" s="6" t="s">
        <v>1030</v>
      </c>
      <c r="P23" s="6" t="s">
        <v>1030</v>
      </c>
      <c r="Q23" s="6" t="str">
        <f t="shared" si="2"/>
        <v>AIS</v>
      </c>
      <c r="R23" s="21" t="s">
        <v>1611</v>
      </c>
    </row>
    <row r="24" spans="1:18" s="6" customFormat="1" x14ac:dyDescent="0.2">
      <c r="A24" s="3" t="str">
        <f t="shared" si="0"/>
        <v>VECAA_SUBIA</v>
      </c>
      <c r="B24" s="6" t="s">
        <v>15</v>
      </c>
      <c r="C24" s="6" t="s">
        <v>1573</v>
      </c>
      <c r="D24" s="20" t="s">
        <v>1574</v>
      </c>
      <c r="E24" s="6" t="s">
        <v>1327</v>
      </c>
      <c r="F24" s="6" t="s">
        <v>1028</v>
      </c>
      <c r="G24" s="20" t="s">
        <v>1576</v>
      </c>
      <c r="H24" s="20" t="s">
        <v>1575</v>
      </c>
      <c r="I24" s="6" t="s">
        <v>1034</v>
      </c>
      <c r="J24" s="6" t="s">
        <v>1329</v>
      </c>
      <c r="K24" s="6" t="s">
        <v>1328</v>
      </c>
      <c r="L24" s="6" t="s">
        <v>1029</v>
      </c>
      <c r="M24" s="6" t="s">
        <v>1030</v>
      </c>
      <c r="N24" s="6" t="s">
        <v>1030</v>
      </c>
      <c r="O24" s="6" t="s">
        <v>1030</v>
      </c>
      <c r="P24" s="6" t="s">
        <v>1030</v>
      </c>
      <c r="Q24" s="6" t="str">
        <f t="shared" si="2"/>
        <v>AIS</v>
      </c>
      <c r="R24" s="21" t="s">
        <v>1620</v>
      </c>
    </row>
    <row r="25" spans="1:18" s="6" customFormat="1" x14ac:dyDescent="0.2">
      <c r="A25" s="3" t="str">
        <f t="shared" si="0"/>
        <v>F2EC_SUBHI</v>
      </c>
      <c r="B25" s="6" t="s">
        <v>15</v>
      </c>
      <c r="C25" s="6" t="s">
        <v>1374</v>
      </c>
      <c r="D25" s="6" t="s">
        <v>1379</v>
      </c>
      <c r="E25" s="6" t="s">
        <v>504</v>
      </c>
      <c r="F25" s="6" t="s">
        <v>505</v>
      </c>
      <c r="G25" s="6" t="s">
        <v>1384</v>
      </c>
      <c r="H25" s="6" t="s">
        <v>1398</v>
      </c>
      <c r="I25" s="6" t="s">
        <v>507</v>
      </c>
      <c r="J25" s="6" t="s">
        <v>508</v>
      </c>
      <c r="K25" s="6" t="s">
        <v>509</v>
      </c>
      <c r="L25" s="6" t="s">
        <v>492</v>
      </c>
      <c r="M25" s="6" t="s">
        <v>493</v>
      </c>
      <c r="N25" s="6" t="s">
        <v>493</v>
      </c>
      <c r="O25" s="6" t="s">
        <v>510</v>
      </c>
      <c r="P25" s="6" t="s">
        <v>511</v>
      </c>
      <c r="Q25" s="6" t="str">
        <f t="shared" si="2"/>
        <v>Expert Cons.</v>
      </c>
      <c r="R25" s="21"/>
    </row>
    <row r="26" spans="1:18" s="6" customFormat="1" x14ac:dyDescent="0.2">
      <c r="A26" s="3" t="str">
        <f t="shared" si="0"/>
        <v>VECAA_SUBXE</v>
      </c>
      <c r="B26" s="6" t="s">
        <v>23</v>
      </c>
      <c r="C26" s="6" t="s">
        <v>1070</v>
      </c>
      <c r="D26" s="6" t="s">
        <v>1414</v>
      </c>
      <c r="E26" s="6" t="s">
        <v>1327</v>
      </c>
      <c r="F26" s="6" t="s">
        <v>1028</v>
      </c>
      <c r="G26" s="6" t="s">
        <v>1415</v>
      </c>
      <c r="H26" s="6" t="s">
        <v>1416</v>
      </c>
      <c r="I26" s="6" t="s">
        <v>1034</v>
      </c>
      <c r="J26" s="6" t="s">
        <v>1329</v>
      </c>
      <c r="K26" s="6" t="s">
        <v>1328</v>
      </c>
      <c r="L26" s="6" t="s">
        <v>1029</v>
      </c>
      <c r="M26" s="6" t="s">
        <v>1030</v>
      </c>
      <c r="N26" s="6" t="s">
        <v>1030</v>
      </c>
      <c r="O26" s="6" t="s">
        <v>1030</v>
      </c>
      <c r="P26" s="6" t="s">
        <v>1030</v>
      </c>
      <c r="Q26" s="6" t="str">
        <f t="shared" si="2"/>
        <v>AIS</v>
      </c>
      <c r="R26" s="21" t="s">
        <v>1556</v>
      </c>
    </row>
    <row r="27" spans="1:18" s="6" customFormat="1" x14ac:dyDescent="0.2">
      <c r="A27" s="3" t="str">
        <f t="shared" si="0"/>
        <v>VECAA_SUBCJ</v>
      </c>
      <c r="B27" s="6" t="s">
        <v>15</v>
      </c>
      <c r="C27" s="6" t="s">
        <v>1061</v>
      </c>
      <c r="D27" s="6" t="s">
        <v>1414</v>
      </c>
      <c r="E27" s="6" t="s">
        <v>1327</v>
      </c>
      <c r="F27" s="6" t="s">
        <v>1028</v>
      </c>
      <c r="G27" s="6" t="s">
        <v>1415</v>
      </c>
      <c r="H27" s="6" t="s">
        <v>1416</v>
      </c>
      <c r="I27" s="6" t="s">
        <v>1034</v>
      </c>
      <c r="J27" s="6" t="s">
        <v>1329</v>
      </c>
      <c r="K27" s="6" t="s">
        <v>1328</v>
      </c>
      <c r="L27" s="6" t="s">
        <v>1029</v>
      </c>
      <c r="M27" s="6" t="s">
        <v>1030</v>
      </c>
      <c r="N27" s="6" t="s">
        <v>1030</v>
      </c>
      <c r="O27" s="6" t="s">
        <v>1030</v>
      </c>
      <c r="P27" s="6" t="s">
        <v>1030</v>
      </c>
      <c r="Q27" s="6" t="str">
        <f t="shared" si="2"/>
        <v>AIS</v>
      </c>
      <c r="R27" s="21" t="s">
        <v>1555</v>
      </c>
    </row>
    <row r="28" spans="1:18" s="6" customFormat="1" x14ac:dyDescent="0.2">
      <c r="A28" s="3" t="str">
        <f t="shared" si="0"/>
        <v>F4CS_SUBBG</v>
      </c>
      <c r="B28" s="6" t="s">
        <v>15</v>
      </c>
      <c r="C28" s="6" t="s">
        <v>234</v>
      </c>
      <c r="D28" s="6" t="s">
        <v>235</v>
      </c>
      <c r="E28" s="6" t="s">
        <v>236</v>
      </c>
      <c r="F28" s="6" t="s">
        <v>680</v>
      </c>
      <c r="G28" s="6" t="s">
        <v>237</v>
      </c>
      <c r="H28" s="6" t="s">
        <v>237</v>
      </c>
      <c r="I28" s="6" t="s">
        <v>238</v>
      </c>
      <c r="J28" s="6" t="s">
        <v>239</v>
      </c>
      <c r="K28" s="6" t="s">
        <v>239</v>
      </c>
      <c r="L28" s="6" t="s">
        <v>686</v>
      </c>
      <c r="M28" s="6" t="s">
        <v>687</v>
      </c>
      <c r="N28" s="6" t="s">
        <v>688</v>
      </c>
      <c r="O28" s="6" t="s">
        <v>687</v>
      </c>
      <c r="P28" s="6" t="s">
        <v>688</v>
      </c>
      <c r="Q28" s="6" t="str">
        <f t="shared" si="2"/>
        <v>Creative Services</v>
      </c>
      <c r="R28" s="21"/>
    </row>
    <row r="29" spans="1:18" s="6" customFormat="1" x14ac:dyDescent="0.2">
      <c r="A29" s="3" t="str">
        <f t="shared" si="0"/>
        <v>F7RL_SUBAO</v>
      </c>
      <c r="B29" s="6" t="s">
        <v>15</v>
      </c>
      <c r="C29" s="6" t="s">
        <v>734</v>
      </c>
      <c r="D29" s="6" t="s">
        <v>735</v>
      </c>
      <c r="E29" s="6" t="s">
        <v>736</v>
      </c>
      <c r="F29" s="6" t="s">
        <v>720</v>
      </c>
      <c r="G29" s="6" t="s">
        <v>737</v>
      </c>
      <c r="H29" s="6" t="s">
        <v>737</v>
      </c>
      <c r="I29" s="6" t="s">
        <v>738</v>
      </c>
      <c r="J29" s="6" t="s">
        <v>739</v>
      </c>
      <c r="K29" s="6" t="s">
        <v>740</v>
      </c>
      <c r="L29" s="6" t="s">
        <v>723</v>
      </c>
      <c r="M29" s="6" t="s">
        <v>724</v>
      </c>
      <c r="N29" s="6" t="s">
        <v>724</v>
      </c>
      <c r="O29" s="6" t="s">
        <v>724</v>
      </c>
      <c r="P29" s="6" t="s">
        <v>724</v>
      </c>
      <c r="Q29" s="6" t="str">
        <f t="shared" si="2"/>
        <v>Reg. Legal Services</v>
      </c>
      <c r="R29" s="21"/>
    </row>
    <row r="30" spans="1:18" s="6" customFormat="1" x14ac:dyDescent="0.2">
      <c r="A30" s="3" t="str">
        <f t="shared" si="0"/>
        <v>WXO5</v>
      </c>
      <c r="B30" s="6" t="s">
        <v>15</v>
      </c>
      <c r="C30" s="5" t="s">
        <v>1214</v>
      </c>
      <c r="D30" s="5" t="s">
        <v>1215</v>
      </c>
      <c r="F30" s="6" t="s">
        <v>1198</v>
      </c>
      <c r="G30" s="5" t="s">
        <v>1216</v>
      </c>
      <c r="H30" s="5" t="s">
        <v>1217</v>
      </c>
      <c r="I30" s="6" t="s">
        <v>18</v>
      </c>
      <c r="J30" s="6" t="s">
        <v>18</v>
      </c>
      <c r="K30" s="6" t="s">
        <v>18</v>
      </c>
      <c r="L30" s="6" t="s">
        <v>1201</v>
      </c>
      <c r="M30" s="6" t="s">
        <v>1199</v>
      </c>
      <c r="N30" s="6" t="s">
        <v>1200</v>
      </c>
      <c r="O30" s="6" t="s">
        <v>1199</v>
      </c>
      <c r="P30" s="6" t="s">
        <v>1200</v>
      </c>
      <c r="Q30" s="6" t="str">
        <f t="shared" si="2"/>
        <v>RDS Other</v>
      </c>
      <c r="R30" s="21"/>
    </row>
    <row r="31" spans="1:18" s="6" customFormat="1" x14ac:dyDescent="0.2">
      <c r="A31" s="3" t="str">
        <f t="shared" si="0"/>
        <v>F3GF_SUBA1</v>
      </c>
      <c r="B31" s="6" t="s">
        <v>23</v>
      </c>
      <c r="C31" s="6" t="s">
        <v>595</v>
      </c>
      <c r="D31" s="6" t="s">
        <v>596</v>
      </c>
      <c r="E31" s="6" t="s">
        <v>597</v>
      </c>
      <c r="F31" s="6" t="s">
        <v>573</v>
      </c>
      <c r="G31" s="6" t="s">
        <v>598</v>
      </c>
      <c r="H31" s="6" t="s">
        <v>599</v>
      </c>
      <c r="I31" s="6" t="s">
        <v>600</v>
      </c>
      <c r="J31" s="6" t="s">
        <v>601</v>
      </c>
      <c r="K31" s="6" t="s">
        <v>601</v>
      </c>
      <c r="L31" s="6" t="s">
        <v>575</v>
      </c>
      <c r="M31" s="6" t="s">
        <v>576</v>
      </c>
      <c r="N31" s="6" t="s">
        <v>576</v>
      </c>
      <c r="O31" s="6" t="s">
        <v>576</v>
      </c>
      <c r="P31" s="6" t="s">
        <v>576</v>
      </c>
      <c r="Q31" s="6" t="str">
        <f t="shared" si="2"/>
        <v>Global Finance</v>
      </c>
      <c r="R31" s="21" t="s">
        <v>1636</v>
      </c>
    </row>
    <row r="32" spans="1:18" s="6" customFormat="1" x14ac:dyDescent="0.2">
      <c r="A32" s="3" t="str">
        <f t="shared" si="0"/>
        <v>F3RF_SUBA5</v>
      </c>
      <c r="B32" s="6" t="s">
        <v>15</v>
      </c>
      <c r="C32" s="6" t="s">
        <v>660</v>
      </c>
      <c r="D32" s="6" t="s">
        <v>661</v>
      </c>
      <c r="E32" s="6" t="s">
        <v>650</v>
      </c>
      <c r="F32" s="6" t="s">
        <v>573</v>
      </c>
      <c r="G32" s="6" t="s">
        <v>662</v>
      </c>
      <c r="H32" s="6" t="s">
        <v>663</v>
      </c>
      <c r="I32" s="6" t="s">
        <v>653</v>
      </c>
      <c r="J32" s="6" t="s">
        <v>654</v>
      </c>
      <c r="K32" s="6" t="s">
        <v>655</v>
      </c>
      <c r="L32" s="6" t="s">
        <v>575</v>
      </c>
      <c r="M32" s="6" t="s">
        <v>576</v>
      </c>
      <c r="N32" s="6" t="s">
        <v>576</v>
      </c>
      <c r="O32" s="6" t="s">
        <v>576</v>
      </c>
      <c r="P32" s="6" t="s">
        <v>576</v>
      </c>
      <c r="Q32" s="6" t="str">
        <f t="shared" si="2"/>
        <v>AMER Finance</v>
      </c>
      <c r="R32" s="21"/>
    </row>
    <row r="33" spans="1:18" s="6" customFormat="1" x14ac:dyDescent="0.2">
      <c r="A33" s="3" t="str">
        <f t="shared" si="0"/>
        <v>F3RF_SUBA2</v>
      </c>
      <c r="B33" s="6" t="s">
        <v>15</v>
      </c>
      <c r="C33" s="6" t="s">
        <v>648</v>
      </c>
      <c r="D33" s="6" t="s">
        <v>649</v>
      </c>
      <c r="E33" s="6" t="s">
        <v>650</v>
      </c>
      <c r="F33" s="6" t="s">
        <v>573</v>
      </c>
      <c r="G33" s="6" t="s">
        <v>651</v>
      </c>
      <c r="H33" s="6" t="s">
        <v>652</v>
      </c>
      <c r="I33" s="6" t="s">
        <v>653</v>
      </c>
      <c r="J33" s="6" t="s">
        <v>654</v>
      </c>
      <c r="K33" s="6" t="s">
        <v>655</v>
      </c>
      <c r="L33" s="6" t="s">
        <v>575</v>
      </c>
      <c r="M33" s="6" t="s">
        <v>576</v>
      </c>
      <c r="N33" s="6" t="s">
        <v>576</v>
      </c>
      <c r="O33" s="6" t="s">
        <v>576</v>
      </c>
      <c r="P33" s="6" t="s">
        <v>576</v>
      </c>
      <c r="Q33" s="6" t="str">
        <f t="shared" si="2"/>
        <v>AMER Finance</v>
      </c>
      <c r="R33" s="21"/>
    </row>
    <row r="34" spans="1:18" s="6" customFormat="1" x14ac:dyDescent="0.2">
      <c r="A34" s="3" t="str">
        <f t="shared" si="0"/>
        <v>THGR_SUBEH</v>
      </c>
      <c r="B34" s="6" t="s">
        <v>15</v>
      </c>
      <c r="C34" s="6" t="s">
        <v>929</v>
      </c>
      <c r="D34" s="6" t="s">
        <v>930</v>
      </c>
      <c r="E34" s="6" t="s">
        <v>921</v>
      </c>
      <c r="F34" s="6" t="s">
        <v>884</v>
      </c>
      <c r="G34" s="6" t="s">
        <v>931</v>
      </c>
      <c r="H34" s="6" t="s">
        <v>931</v>
      </c>
      <c r="I34" s="6" t="s">
        <v>923</v>
      </c>
      <c r="J34" s="6" t="s">
        <v>924</v>
      </c>
      <c r="K34" s="6" t="s">
        <v>925</v>
      </c>
      <c r="L34" s="6" t="s">
        <v>887</v>
      </c>
      <c r="M34" s="6" t="s">
        <v>888</v>
      </c>
      <c r="N34" s="6" t="s">
        <v>889</v>
      </c>
      <c r="O34" s="6" t="s">
        <v>888</v>
      </c>
      <c r="P34" s="6" t="s">
        <v>889</v>
      </c>
      <c r="Q34" s="6" t="str">
        <f t="shared" si="2"/>
        <v>HR &amp; Talent Mgmt.</v>
      </c>
      <c r="R34" s="21"/>
    </row>
    <row r="35" spans="1:18" s="6" customFormat="1" x14ac:dyDescent="0.2">
      <c r="A35" s="3" t="str">
        <f t="shared" si="0"/>
        <v>F3RF_SUBA9</v>
      </c>
      <c r="B35" s="6" t="s">
        <v>23</v>
      </c>
      <c r="C35" s="6" t="s">
        <v>664</v>
      </c>
      <c r="D35" s="6" t="s">
        <v>665</v>
      </c>
      <c r="E35" s="6" t="s">
        <v>650</v>
      </c>
      <c r="F35" s="6" t="s">
        <v>573</v>
      </c>
      <c r="G35" s="6" t="s">
        <v>666</v>
      </c>
      <c r="H35" s="6" t="s">
        <v>667</v>
      </c>
      <c r="I35" s="6" t="s">
        <v>653</v>
      </c>
      <c r="J35" s="6" t="s">
        <v>654</v>
      </c>
      <c r="K35" s="6" t="s">
        <v>655</v>
      </c>
      <c r="L35" s="6" t="s">
        <v>575</v>
      </c>
      <c r="M35" s="6" t="s">
        <v>576</v>
      </c>
      <c r="N35" s="6" t="s">
        <v>576</v>
      </c>
      <c r="O35" s="6" t="s">
        <v>576</v>
      </c>
      <c r="P35" s="6" t="s">
        <v>576</v>
      </c>
      <c r="Q35" s="6" t="str">
        <f t="shared" si="2"/>
        <v>AMER Finance</v>
      </c>
      <c r="R35" s="21"/>
    </row>
    <row r="36" spans="1:18" s="6" customFormat="1" x14ac:dyDescent="0.2">
      <c r="A36" s="3" t="str">
        <f t="shared" si="0"/>
        <v>F10MR_SUBPR</v>
      </c>
      <c r="B36" s="6" t="s">
        <v>15</v>
      </c>
      <c r="C36" s="6" t="s">
        <v>299</v>
      </c>
      <c r="D36" s="6" t="s">
        <v>300</v>
      </c>
      <c r="E36" s="6" t="s">
        <v>292</v>
      </c>
      <c r="F36" s="6" t="s">
        <v>189</v>
      </c>
      <c r="G36" s="6" t="s">
        <v>301</v>
      </c>
      <c r="H36" s="6" t="s">
        <v>301</v>
      </c>
      <c r="I36" s="6" t="s">
        <v>294</v>
      </c>
      <c r="J36" s="6" t="s">
        <v>295</v>
      </c>
      <c r="K36" s="6" t="s">
        <v>295</v>
      </c>
      <c r="L36" s="6" t="s">
        <v>191</v>
      </c>
      <c r="M36" s="6" t="s">
        <v>192</v>
      </c>
      <c r="N36" s="6" t="s">
        <v>192</v>
      </c>
      <c r="O36" s="6" t="s">
        <v>192</v>
      </c>
      <c r="P36" s="6" t="s">
        <v>192</v>
      </c>
      <c r="Q36" s="6" t="str">
        <f t="shared" si="2"/>
        <v>Market Reputation</v>
      </c>
      <c r="R36" s="21"/>
    </row>
    <row r="37" spans="1:18" s="6" customFormat="1" x14ac:dyDescent="0.2">
      <c r="A37" s="3" t="str">
        <f t="shared" si="0"/>
        <v>F3GF_SUBA4</v>
      </c>
      <c r="B37" s="6" t="s">
        <v>15</v>
      </c>
      <c r="C37" s="6" t="s">
        <v>602</v>
      </c>
      <c r="D37" s="6" t="s">
        <v>603</v>
      </c>
      <c r="E37" s="6" t="s">
        <v>597</v>
      </c>
      <c r="F37" s="6" t="s">
        <v>573</v>
      </c>
      <c r="G37" s="6" t="s">
        <v>604</v>
      </c>
      <c r="H37" s="6" t="s">
        <v>605</v>
      </c>
      <c r="I37" s="6" t="s">
        <v>600</v>
      </c>
      <c r="J37" s="6" t="s">
        <v>601</v>
      </c>
      <c r="K37" s="6" t="s">
        <v>601</v>
      </c>
      <c r="L37" s="6" t="s">
        <v>575</v>
      </c>
      <c r="M37" s="6" t="s">
        <v>576</v>
      </c>
      <c r="N37" s="6" t="s">
        <v>576</v>
      </c>
      <c r="O37" s="6" t="s">
        <v>576</v>
      </c>
      <c r="P37" s="6" t="s">
        <v>576</v>
      </c>
      <c r="Q37" s="6" t="str">
        <f t="shared" si="2"/>
        <v>Global Finance</v>
      </c>
      <c r="R37" s="21"/>
    </row>
    <row r="38" spans="1:18" s="6" customFormat="1" x14ac:dyDescent="0.2">
      <c r="A38" s="3" t="str">
        <f t="shared" si="0"/>
        <v>VFSQ_SUBWB</v>
      </c>
      <c r="B38" s="6" t="s">
        <v>15</v>
      </c>
      <c r="C38" s="6" t="s">
        <v>1099</v>
      </c>
      <c r="D38" s="6" t="s">
        <v>1100</v>
      </c>
      <c r="E38" s="6" t="s">
        <v>1094</v>
      </c>
      <c r="F38" s="6" t="s">
        <v>1073</v>
      </c>
      <c r="G38" s="6" t="s">
        <v>1101</v>
      </c>
      <c r="H38" s="6" t="s">
        <v>1101</v>
      </c>
      <c r="I38" s="6" t="s">
        <v>1096</v>
      </c>
      <c r="J38" s="6" t="s">
        <v>1097</v>
      </c>
      <c r="K38" s="6" t="s">
        <v>1098</v>
      </c>
      <c r="L38" s="6" t="s">
        <v>1076</v>
      </c>
      <c r="M38" s="6" t="s">
        <v>1077</v>
      </c>
      <c r="N38" s="6" t="s">
        <v>1078</v>
      </c>
      <c r="O38" s="6" t="s">
        <v>1077</v>
      </c>
      <c r="P38" s="6" t="s">
        <v>1078</v>
      </c>
      <c r="Q38" s="6" t="str">
        <f t="shared" si="2"/>
        <v>PE Strategy, Ops, Talent</v>
      </c>
      <c r="R38" s="21"/>
    </row>
    <row r="39" spans="1:18" s="6" customFormat="1" x14ac:dyDescent="0.2">
      <c r="A39" s="3" t="str">
        <f t="shared" si="0"/>
        <v>F3RF_SUBA3</v>
      </c>
      <c r="B39" s="6" t="s">
        <v>15</v>
      </c>
      <c r="C39" s="6" t="s">
        <v>656</v>
      </c>
      <c r="D39" s="6" t="s">
        <v>657</v>
      </c>
      <c r="E39" s="6" t="s">
        <v>650</v>
      </c>
      <c r="F39" s="6" t="s">
        <v>573</v>
      </c>
      <c r="G39" s="6" t="s">
        <v>658</v>
      </c>
      <c r="H39" s="6" t="s">
        <v>659</v>
      </c>
      <c r="I39" s="6" t="s">
        <v>653</v>
      </c>
      <c r="J39" s="6" t="s">
        <v>654</v>
      </c>
      <c r="K39" s="6" t="s">
        <v>655</v>
      </c>
      <c r="L39" s="6" t="s">
        <v>575</v>
      </c>
      <c r="M39" s="6" t="s">
        <v>576</v>
      </c>
      <c r="N39" s="6" t="s">
        <v>576</v>
      </c>
      <c r="O39" s="6" t="s">
        <v>576</v>
      </c>
      <c r="P39" s="6" t="s">
        <v>576</v>
      </c>
      <c r="Q39" s="6" t="str">
        <f t="shared" si="2"/>
        <v>AMER Finance</v>
      </c>
      <c r="R39" s="21"/>
    </row>
    <row r="40" spans="1:18" s="6" customFormat="1" x14ac:dyDescent="0.2">
      <c r="A40" s="3" t="str">
        <f t="shared" si="0"/>
        <v>RERC_SUBEY</v>
      </c>
      <c r="B40" s="6" t="s">
        <v>15</v>
      </c>
      <c r="C40" s="6" t="s">
        <v>1222</v>
      </c>
      <c r="D40" s="6" t="s">
        <v>1223</v>
      </c>
      <c r="E40" s="6" t="s">
        <v>820</v>
      </c>
      <c r="F40" s="6" t="s">
        <v>813</v>
      </c>
      <c r="G40" s="6" t="s">
        <v>1224</v>
      </c>
      <c r="H40" s="6" t="s">
        <v>1225</v>
      </c>
      <c r="I40" s="6" t="s">
        <v>823</v>
      </c>
      <c r="J40" s="6" t="s">
        <v>824</v>
      </c>
      <c r="K40" s="6" t="s">
        <v>825</v>
      </c>
      <c r="L40" s="6" t="s">
        <v>816</v>
      </c>
      <c r="M40" s="6" t="s">
        <v>817</v>
      </c>
      <c r="N40" s="6" t="s">
        <v>817</v>
      </c>
      <c r="O40" s="6" t="s">
        <v>817</v>
      </c>
      <c r="P40" s="6" t="s">
        <v>817</v>
      </c>
      <c r="Q40" s="6" t="str">
        <f t="shared" si="2"/>
        <v>TA CoE</v>
      </c>
      <c r="R40" s="21"/>
    </row>
    <row r="41" spans="1:18" s="6" customFormat="1" ht="25.5" x14ac:dyDescent="0.2">
      <c r="A41" s="3" t="str">
        <f t="shared" si="0"/>
        <v>F3GF_SUBAB</v>
      </c>
      <c r="B41" s="6" t="s">
        <v>23</v>
      </c>
      <c r="C41" s="6" t="s">
        <v>606</v>
      </c>
      <c r="D41" s="6" t="s">
        <v>607</v>
      </c>
      <c r="E41" s="6" t="s">
        <v>597</v>
      </c>
      <c r="F41" s="6" t="s">
        <v>573</v>
      </c>
      <c r="G41" s="6" t="s">
        <v>608</v>
      </c>
      <c r="H41" s="6" t="s">
        <v>608</v>
      </c>
      <c r="I41" s="6" t="s">
        <v>600</v>
      </c>
      <c r="J41" s="6" t="s">
        <v>601</v>
      </c>
      <c r="K41" s="6" t="s">
        <v>601</v>
      </c>
      <c r="L41" s="6" t="s">
        <v>575</v>
      </c>
      <c r="M41" s="6" t="s">
        <v>576</v>
      </c>
      <c r="N41" s="6" t="s">
        <v>576</v>
      </c>
      <c r="O41" s="6" t="s">
        <v>576</v>
      </c>
      <c r="P41" s="6" t="s">
        <v>576</v>
      </c>
      <c r="Q41" s="6" t="str">
        <f t="shared" si="2"/>
        <v>Global Finance</v>
      </c>
      <c r="R41" s="21" t="s">
        <v>1519</v>
      </c>
    </row>
    <row r="42" spans="1:18" s="6" customFormat="1" x14ac:dyDescent="0.2">
      <c r="A42" s="3" t="str">
        <f t="shared" si="0"/>
        <v>F4CS_SUBBJ</v>
      </c>
      <c r="B42" s="6" t="s">
        <v>15</v>
      </c>
      <c r="C42" s="6" t="s">
        <v>240</v>
      </c>
      <c r="D42" s="6" t="s">
        <v>241</v>
      </c>
      <c r="E42" s="6" t="s">
        <v>236</v>
      </c>
      <c r="F42" s="6" t="s">
        <v>680</v>
      </c>
      <c r="G42" s="6" t="s">
        <v>242</v>
      </c>
      <c r="H42" s="6" t="s">
        <v>242</v>
      </c>
      <c r="I42" s="6" t="s">
        <v>238</v>
      </c>
      <c r="J42" s="6" t="s">
        <v>239</v>
      </c>
      <c r="K42" s="6" t="s">
        <v>239</v>
      </c>
      <c r="L42" s="6" t="s">
        <v>686</v>
      </c>
      <c r="M42" s="6" t="s">
        <v>687</v>
      </c>
      <c r="N42" s="6" t="s">
        <v>688</v>
      </c>
      <c r="O42" s="6" t="s">
        <v>687</v>
      </c>
      <c r="P42" s="6" t="s">
        <v>688</v>
      </c>
      <c r="Q42" s="6" t="str">
        <f t="shared" si="2"/>
        <v>Creative Services</v>
      </c>
      <c r="R42" s="21"/>
    </row>
    <row r="43" spans="1:18" s="6" customFormat="1" x14ac:dyDescent="0.2">
      <c r="A43" s="3" t="str">
        <f t="shared" si="0"/>
        <v>F3AF_SUBAF</v>
      </c>
      <c r="B43" s="6" t="s">
        <v>15</v>
      </c>
      <c r="C43" s="6" t="s">
        <v>579</v>
      </c>
      <c r="D43" s="6" t="s">
        <v>580</v>
      </c>
      <c r="E43" s="6" t="s">
        <v>581</v>
      </c>
      <c r="F43" s="6" t="s">
        <v>573</v>
      </c>
      <c r="G43" s="6" t="s">
        <v>582</v>
      </c>
      <c r="H43" s="6" t="s">
        <v>582</v>
      </c>
      <c r="I43" s="6" t="s">
        <v>583</v>
      </c>
      <c r="J43" s="6" t="s">
        <v>582</v>
      </c>
      <c r="K43" s="6" t="s">
        <v>582</v>
      </c>
      <c r="L43" s="6" t="s">
        <v>575</v>
      </c>
      <c r="M43" s="6" t="s">
        <v>576</v>
      </c>
      <c r="N43" s="6" t="s">
        <v>576</v>
      </c>
      <c r="O43" s="6" t="s">
        <v>576</v>
      </c>
      <c r="P43" s="6" t="s">
        <v>576</v>
      </c>
      <c r="Q43" s="6" t="str">
        <f t="shared" si="2"/>
        <v>APAC Finance</v>
      </c>
      <c r="R43" s="21"/>
    </row>
    <row r="44" spans="1:18" s="6" customFormat="1" x14ac:dyDescent="0.2">
      <c r="A44" s="3" t="str">
        <f t="shared" si="0"/>
        <v>F3SS_SUBVB</v>
      </c>
      <c r="B44" s="6" t="s">
        <v>15</v>
      </c>
      <c r="C44" s="6" t="s">
        <v>668</v>
      </c>
      <c r="D44" s="6" t="s">
        <v>669</v>
      </c>
      <c r="E44" s="6" t="s">
        <v>670</v>
      </c>
      <c r="F44" s="6" t="s">
        <v>573</v>
      </c>
      <c r="G44" s="6" t="s">
        <v>671</v>
      </c>
      <c r="H44" s="6" t="s">
        <v>671</v>
      </c>
      <c r="I44" s="6" t="s">
        <v>672</v>
      </c>
      <c r="J44" s="6" t="s">
        <v>673</v>
      </c>
      <c r="K44" s="6" t="s">
        <v>673</v>
      </c>
      <c r="L44" s="6" t="s">
        <v>575</v>
      </c>
      <c r="M44" s="6" t="s">
        <v>576</v>
      </c>
      <c r="N44" s="6" t="s">
        <v>576</v>
      </c>
      <c r="O44" s="6" t="s">
        <v>576</v>
      </c>
      <c r="P44" s="6" t="s">
        <v>576</v>
      </c>
      <c r="Q44" s="6" t="str">
        <f t="shared" si="2"/>
        <v>GBS Finance</v>
      </c>
      <c r="R44" s="21"/>
    </row>
    <row r="45" spans="1:18" s="6" customFormat="1" x14ac:dyDescent="0.2">
      <c r="A45" s="3" t="str">
        <f t="shared" si="0"/>
        <v>THGR_SUBRC</v>
      </c>
      <c r="B45" s="6" t="s">
        <v>15</v>
      </c>
      <c r="C45" s="6" t="s">
        <v>955</v>
      </c>
      <c r="D45" s="6" t="s">
        <v>956</v>
      </c>
      <c r="E45" s="6" t="s">
        <v>921</v>
      </c>
      <c r="F45" s="6" t="s">
        <v>884</v>
      </c>
      <c r="G45" s="6" t="s">
        <v>957</v>
      </c>
      <c r="H45" s="6" t="s">
        <v>957</v>
      </c>
      <c r="I45" s="6" t="s">
        <v>923</v>
      </c>
      <c r="J45" s="6" t="s">
        <v>924</v>
      </c>
      <c r="K45" s="6" t="s">
        <v>925</v>
      </c>
      <c r="L45" s="6" t="s">
        <v>887</v>
      </c>
      <c r="M45" s="6" t="s">
        <v>888</v>
      </c>
      <c r="N45" s="6" t="s">
        <v>889</v>
      </c>
      <c r="O45" s="6" t="s">
        <v>888</v>
      </c>
      <c r="P45" s="6" t="s">
        <v>889</v>
      </c>
      <c r="Q45" s="6" t="str">
        <f t="shared" si="2"/>
        <v>HR &amp; Talent Mgmt.</v>
      </c>
      <c r="R45" s="21"/>
    </row>
    <row r="46" spans="1:18" s="6" customFormat="1" x14ac:dyDescent="0.2">
      <c r="A46" s="3" t="str">
        <f t="shared" si="0"/>
        <v>F7RL_SUBAQ</v>
      </c>
      <c r="B46" s="6" t="s">
        <v>15</v>
      </c>
      <c r="C46" s="6" t="s">
        <v>741</v>
      </c>
      <c r="D46" s="6" t="s">
        <v>742</v>
      </c>
      <c r="E46" s="6" t="s">
        <v>736</v>
      </c>
      <c r="F46" s="6" t="s">
        <v>720</v>
      </c>
      <c r="G46" s="6" t="s">
        <v>743</v>
      </c>
      <c r="H46" s="6" t="s">
        <v>743</v>
      </c>
      <c r="I46" s="6" t="s">
        <v>738</v>
      </c>
      <c r="J46" s="6" t="s">
        <v>739</v>
      </c>
      <c r="K46" s="6" t="s">
        <v>740</v>
      </c>
      <c r="L46" s="6" t="s">
        <v>723</v>
      </c>
      <c r="M46" s="6" t="s">
        <v>724</v>
      </c>
      <c r="N46" s="6" t="s">
        <v>724</v>
      </c>
      <c r="O46" s="6" t="s">
        <v>724</v>
      </c>
      <c r="P46" s="6" t="s">
        <v>724</v>
      </c>
      <c r="Q46" s="6" t="str">
        <f t="shared" si="2"/>
        <v>Reg. Legal Services</v>
      </c>
      <c r="R46" s="21"/>
    </row>
    <row r="47" spans="1:18" s="6" customFormat="1" x14ac:dyDescent="0.2">
      <c r="A47" s="3" t="str">
        <f t="shared" si="0"/>
        <v>F3AF_SUBAH</v>
      </c>
      <c r="B47" s="6" t="s">
        <v>15</v>
      </c>
      <c r="C47" s="6" t="s">
        <v>584</v>
      </c>
      <c r="D47" s="6" t="s">
        <v>585</v>
      </c>
      <c r="E47" s="6" t="s">
        <v>581</v>
      </c>
      <c r="F47" s="6" t="s">
        <v>573</v>
      </c>
      <c r="G47" s="6" t="s">
        <v>586</v>
      </c>
      <c r="H47" s="6" t="s">
        <v>586</v>
      </c>
      <c r="I47" s="6" t="s">
        <v>583</v>
      </c>
      <c r="J47" s="6" t="s">
        <v>582</v>
      </c>
      <c r="K47" s="6" t="s">
        <v>582</v>
      </c>
      <c r="L47" s="6" t="s">
        <v>575</v>
      </c>
      <c r="M47" s="6" t="s">
        <v>576</v>
      </c>
      <c r="N47" s="6" t="s">
        <v>576</v>
      </c>
      <c r="O47" s="6" t="s">
        <v>576</v>
      </c>
      <c r="P47" s="6" t="s">
        <v>576</v>
      </c>
      <c r="Q47" s="6" t="str">
        <f t="shared" si="2"/>
        <v>APAC Finance</v>
      </c>
      <c r="R47" s="21"/>
    </row>
    <row r="48" spans="1:18" s="6" customFormat="1" x14ac:dyDescent="0.2">
      <c r="A48" s="3" t="str">
        <f t="shared" si="0"/>
        <v>F10MR_SUBMX</v>
      </c>
      <c r="B48" s="6" t="s">
        <v>15</v>
      </c>
      <c r="C48" s="6" t="s">
        <v>296</v>
      </c>
      <c r="D48" s="6" t="s">
        <v>297</v>
      </c>
      <c r="E48" s="6" t="s">
        <v>292</v>
      </c>
      <c r="F48" s="6" t="s">
        <v>189</v>
      </c>
      <c r="G48" s="6" t="s">
        <v>298</v>
      </c>
      <c r="H48" s="6" t="s">
        <v>298</v>
      </c>
      <c r="I48" s="6" t="s">
        <v>294</v>
      </c>
      <c r="J48" s="6" t="s">
        <v>295</v>
      </c>
      <c r="K48" s="6" t="s">
        <v>295</v>
      </c>
      <c r="L48" s="6" t="s">
        <v>191</v>
      </c>
      <c r="M48" s="6" t="s">
        <v>192</v>
      </c>
      <c r="N48" s="6" t="s">
        <v>192</v>
      </c>
      <c r="O48" s="6" t="s">
        <v>192</v>
      </c>
      <c r="P48" s="6" t="s">
        <v>192</v>
      </c>
      <c r="Q48" s="6" t="str">
        <f t="shared" si="2"/>
        <v>Market Reputation</v>
      </c>
      <c r="R48" s="21"/>
    </row>
    <row r="49" spans="1:18" s="6" customFormat="1" x14ac:dyDescent="0.2">
      <c r="A49" s="3" t="str">
        <f t="shared" si="0"/>
        <v>VFSQ_SUBWC</v>
      </c>
      <c r="B49" s="6" t="s">
        <v>23</v>
      </c>
      <c r="C49" s="6" t="s">
        <v>1102</v>
      </c>
      <c r="D49" s="6" t="s">
        <v>1103</v>
      </c>
      <c r="E49" s="6" t="s">
        <v>1094</v>
      </c>
      <c r="F49" s="6" t="s">
        <v>1073</v>
      </c>
      <c r="G49" s="6" t="s">
        <v>1104</v>
      </c>
      <c r="H49" s="6" t="s">
        <v>1104</v>
      </c>
      <c r="I49" s="6" t="s">
        <v>1096</v>
      </c>
      <c r="J49" s="6" t="s">
        <v>1097</v>
      </c>
      <c r="K49" s="6" t="s">
        <v>1098</v>
      </c>
      <c r="L49" s="6" t="s">
        <v>1076</v>
      </c>
      <c r="M49" s="6" t="s">
        <v>1077</v>
      </c>
      <c r="N49" s="6" t="s">
        <v>1078</v>
      </c>
      <c r="O49" s="6" t="s">
        <v>1077</v>
      </c>
      <c r="P49" s="6" t="s">
        <v>1078</v>
      </c>
      <c r="Q49" s="6" t="str">
        <f t="shared" si="2"/>
        <v>PE Strategy, Ops, Talent</v>
      </c>
      <c r="R49" s="21"/>
    </row>
    <row r="50" spans="1:18" s="6" customFormat="1" x14ac:dyDescent="0.2">
      <c r="A50" s="3" t="str">
        <f t="shared" si="0"/>
        <v>WXO2</v>
      </c>
      <c r="B50" s="6" t="s">
        <v>15</v>
      </c>
      <c r="C50" s="5" t="s">
        <v>1202</v>
      </c>
      <c r="D50" s="5" t="s">
        <v>1203</v>
      </c>
      <c r="F50" s="6" t="s">
        <v>1198</v>
      </c>
      <c r="G50" s="5" t="s">
        <v>1204</v>
      </c>
      <c r="H50" s="5" t="s">
        <v>1205</v>
      </c>
      <c r="I50" s="6" t="s">
        <v>18</v>
      </c>
      <c r="J50" s="6" t="s">
        <v>18</v>
      </c>
      <c r="K50" s="6" t="s">
        <v>18</v>
      </c>
      <c r="L50" s="6" t="s">
        <v>1201</v>
      </c>
      <c r="M50" s="6" t="s">
        <v>1199</v>
      </c>
      <c r="N50" s="6" t="s">
        <v>1200</v>
      </c>
      <c r="O50" s="6" t="s">
        <v>1199</v>
      </c>
      <c r="P50" s="6" t="s">
        <v>1200</v>
      </c>
      <c r="Q50" s="6" t="str">
        <f t="shared" si="2"/>
        <v>RDS Other</v>
      </c>
      <c r="R50" s="21"/>
    </row>
    <row r="51" spans="1:18" s="6" customFormat="1" x14ac:dyDescent="0.2">
      <c r="A51" s="3" t="str">
        <f t="shared" si="0"/>
        <v>VECET_SUBUZ</v>
      </c>
      <c r="B51" s="6" t="s">
        <v>15</v>
      </c>
      <c r="C51" s="6" t="s">
        <v>1376</v>
      </c>
      <c r="D51" s="6" t="s">
        <v>1381</v>
      </c>
      <c r="E51" s="6" t="s">
        <v>1044</v>
      </c>
      <c r="F51" s="6" t="s">
        <v>1028</v>
      </c>
      <c r="G51" s="6" t="s">
        <v>1399</v>
      </c>
      <c r="H51" s="6" t="s">
        <v>1399</v>
      </c>
      <c r="I51" s="6" t="s">
        <v>1046</v>
      </c>
      <c r="J51" s="6" t="s">
        <v>1047</v>
      </c>
      <c r="K51" s="6" t="s">
        <v>1047</v>
      </c>
      <c r="L51" s="6" t="s">
        <v>1029</v>
      </c>
      <c r="M51" s="6" t="s">
        <v>1030</v>
      </c>
      <c r="N51" s="6" t="s">
        <v>1030</v>
      </c>
      <c r="O51" s="6" t="s">
        <v>1030</v>
      </c>
      <c r="P51" s="6" t="s">
        <v>1030</v>
      </c>
      <c r="Q51" s="6" t="str">
        <f t="shared" si="2"/>
        <v>Enterprise Tech</v>
      </c>
      <c r="R51" s="21"/>
    </row>
    <row r="52" spans="1:18" s="6" customFormat="1" x14ac:dyDescent="0.2">
      <c r="A52" s="3" t="str">
        <f t="shared" si="0"/>
        <v>WUAU</v>
      </c>
      <c r="B52" s="6" t="s">
        <v>23</v>
      </c>
      <c r="C52" s="6" t="s">
        <v>1154</v>
      </c>
      <c r="D52" s="6" t="s">
        <v>1155</v>
      </c>
      <c r="F52" s="6" t="s">
        <v>1156</v>
      </c>
      <c r="G52" s="6" t="s">
        <v>1157</v>
      </c>
      <c r="H52" s="6" t="s">
        <v>1157</v>
      </c>
      <c r="I52" s="6" t="s">
        <v>18</v>
      </c>
      <c r="J52" s="6" t="s">
        <v>18</v>
      </c>
      <c r="K52" s="6" t="s">
        <v>18</v>
      </c>
      <c r="L52" s="6" t="s">
        <v>1158</v>
      </c>
      <c r="M52" s="6" t="s">
        <v>1159</v>
      </c>
      <c r="N52" s="6" t="s">
        <v>1160</v>
      </c>
      <c r="O52" s="6" t="s">
        <v>1159</v>
      </c>
      <c r="P52" s="6" t="s">
        <v>1160</v>
      </c>
      <c r="Q52" s="6" t="str">
        <f t="shared" si="2"/>
        <v>Capability Delivery Other</v>
      </c>
      <c r="R52" s="21"/>
    </row>
    <row r="53" spans="1:18" s="6" customFormat="1" ht="25.5" x14ac:dyDescent="0.2">
      <c r="A53" s="3" t="str">
        <f t="shared" si="0"/>
        <v>THER_SUBHM</v>
      </c>
      <c r="B53" s="6" t="s">
        <v>15</v>
      </c>
      <c r="C53" s="6" t="s">
        <v>1411</v>
      </c>
      <c r="D53" s="6" t="s">
        <v>1412</v>
      </c>
      <c r="E53" s="6" t="s">
        <v>1489</v>
      </c>
      <c r="F53" s="6" t="s">
        <v>884</v>
      </c>
      <c r="G53" s="6" t="s">
        <v>1413</v>
      </c>
      <c r="H53" s="6" t="s">
        <v>1413</v>
      </c>
      <c r="I53" s="6" t="s">
        <v>906</v>
      </c>
      <c r="J53" s="6" t="s">
        <v>904</v>
      </c>
      <c r="K53" s="6" t="s">
        <v>905</v>
      </c>
      <c r="L53" s="6" t="s">
        <v>887</v>
      </c>
      <c r="M53" s="6" t="s">
        <v>888</v>
      </c>
      <c r="N53" s="6" t="s">
        <v>889</v>
      </c>
      <c r="O53" s="6" t="s">
        <v>888</v>
      </c>
      <c r="P53" s="6" t="s">
        <v>889</v>
      </c>
      <c r="Q53" s="6" t="str">
        <f t="shared" si="2"/>
        <v>ER</v>
      </c>
      <c r="R53" s="21" t="s">
        <v>1488</v>
      </c>
    </row>
    <row r="54" spans="1:18" s="6" customFormat="1" x14ac:dyDescent="0.2">
      <c r="A54" s="3" t="str">
        <f t="shared" si="0"/>
        <v>WUBY</v>
      </c>
      <c r="B54" s="6" t="s">
        <v>15</v>
      </c>
      <c r="C54" s="6" t="s">
        <v>1163</v>
      </c>
      <c r="D54" s="6" t="s">
        <v>1164</v>
      </c>
      <c r="F54" s="6" t="s">
        <v>1156</v>
      </c>
      <c r="G54" s="6" t="s">
        <v>1165</v>
      </c>
      <c r="H54" s="6" t="s">
        <v>1165</v>
      </c>
      <c r="I54" s="6" t="s">
        <v>18</v>
      </c>
      <c r="J54" s="6" t="s">
        <v>18</v>
      </c>
      <c r="K54" s="6" t="s">
        <v>18</v>
      </c>
      <c r="L54" s="6" t="s">
        <v>1158</v>
      </c>
      <c r="M54" s="6" t="s">
        <v>1159</v>
      </c>
      <c r="N54" s="6" t="s">
        <v>1160</v>
      </c>
      <c r="O54" s="6" t="s">
        <v>1159</v>
      </c>
      <c r="P54" s="6" t="s">
        <v>1160</v>
      </c>
      <c r="Q54" s="6" t="str">
        <f t="shared" si="2"/>
        <v>Capability Delivery Other</v>
      </c>
      <c r="R54" s="21"/>
    </row>
    <row r="55" spans="1:18" s="6" customFormat="1" x14ac:dyDescent="0.2">
      <c r="A55" s="3" t="str">
        <f t="shared" si="0"/>
        <v>LDAC_SUBAX</v>
      </c>
      <c r="B55" s="6" t="s">
        <v>15</v>
      </c>
      <c r="C55" s="6" t="s">
        <v>780</v>
      </c>
      <c r="D55" s="6" t="s">
        <v>781</v>
      </c>
      <c r="E55" s="6" t="s">
        <v>782</v>
      </c>
      <c r="F55" s="6" t="s">
        <v>783</v>
      </c>
      <c r="G55" s="6" t="s">
        <v>784</v>
      </c>
      <c r="H55" s="6" t="s">
        <v>785</v>
      </c>
      <c r="I55" s="6" t="s">
        <v>786</v>
      </c>
      <c r="J55" s="6" t="s">
        <v>787</v>
      </c>
      <c r="K55" s="6" t="s">
        <v>788</v>
      </c>
      <c r="L55" s="6" t="s">
        <v>789</v>
      </c>
      <c r="M55" s="6" t="s">
        <v>790</v>
      </c>
      <c r="N55" s="6" t="s">
        <v>791</v>
      </c>
      <c r="O55" s="6" t="s">
        <v>790</v>
      </c>
      <c r="P55" s="6" t="s">
        <v>791</v>
      </c>
      <c r="Q55" s="6" t="str">
        <f t="shared" si="2"/>
        <v>Alumni and Client</v>
      </c>
      <c r="R55" s="21"/>
    </row>
    <row r="56" spans="1:18" s="6" customFormat="1" x14ac:dyDescent="0.2">
      <c r="A56" s="3" t="str">
        <f t="shared" si="0"/>
        <v>BCBP</v>
      </c>
      <c r="B56" s="6" t="s">
        <v>23</v>
      </c>
      <c r="C56" s="6" t="s">
        <v>49</v>
      </c>
      <c r="D56" s="6" t="s">
        <v>50</v>
      </c>
      <c r="F56" s="6" t="s">
        <v>19</v>
      </c>
      <c r="G56" s="6" t="s">
        <v>51</v>
      </c>
      <c r="H56" s="6" t="s">
        <v>52</v>
      </c>
      <c r="I56" s="6" t="s">
        <v>18</v>
      </c>
      <c r="J56" s="6" t="s">
        <v>18</v>
      </c>
      <c r="K56" s="6" t="s">
        <v>18</v>
      </c>
      <c r="L56" s="6" t="s">
        <v>22</v>
      </c>
      <c r="M56" s="6" t="s">
        <v>20</v>
      </c>
      <c r="N56" s="6" t="s">
        <v>21</v>
      </c>
      <c r="O56" s="6" t="s">
        <v>20</v>
      </c>
      <c r="P56" s="6" t="s">
        <v>21</v>
      </c>
      <c r="Q56" s="6" t="str">
        <f t="shared" si="2"/>
        <v>BCN Other</v>
      </c>
      <c r="R56" s="25" t="s">
        <v>1504</v>
      </c>
    </row>
    <row r="57" spans="1:18" s="6" customFormat="1" x14ac:dyDescent="0.2">
      <c r="A57" s="3" t="str">
        <f t="shared" si="0"/>
        <v>BCB1</v>
      </c>
      <c r="B57" s="6" t="s">
        <v>15</v>
      </c>
      <c r="C57" s="6" t="s">
        <v>16</v>
      </c>
      <c r="D57" s="6" t="s">
        <v>17</v>
      </c>
      <c r="F57" s="6" t="s">
        <v>19</v>
      </c>
      <c r="G57" s="6" t="s">
        <v>20</v>
      </c>
      <c r="H57" s="6" t="s">
        <v>21</v>
      </c>
      <c r="I57" s="6" t="s">
        <v>18</v>
      </c>
      <c r="J57" s="6" t="s">
        <v>18</v>
      </c>
      <c r="K57" s="6" t="s">
        <v>18</v>
      </c>
      <c r="L57" s="6" t="s">
        <v>22</v>
      </c>
      <c r="M57" s="6" t="s">
        <v>20</v>
      </c>
      <c r="N57" s="6" t="s">
        <v>21</v>
      </c>
      <c r="O57" s="6" t="s">
        <v>20</v>
      </c>
      <c r="P57" s="6" t="s">
        <v>21</v>
      </c>
      <c r="Q57" s="6" t="str">
        <f t="shared" si="2"/>
        <v>BCN Other</v>
      </c>
      <c r="R57" s="21"/>
    </row>
    <row r="58" spans="1:18" s="6" customFormat="1" x14ac:dyDescent="0.2">
      <c r="A58" s="3" t="str">
        <f t="shared" si="0"/>
        <v>LDAC_SUBEN</v>
      </c>
      <c r="B58" s="6" t="s">
        <v>15</v>
      </c>
      <c r="C58" s="6" t="s">
        <v>792</v>
      </c>
      <c r="D58" s="6" t="s">
        <v>793</v>
      </c>
      <c r="E58" s="6" t="s">
        <v>782</v>
      </c>
      <c r="F58" s="6" t="s">
        <v>783</v>
      </c>
      <c r="G58" s="6" t="s">
        <v>794</v>
      </c>
      <c r="H58" s="6" t="s">
        <v>795</v>
      </c>
      <c r="I58" s="6" t="s">
        <v>786</v>
      </c>
      <c r="J58" s="6" t="s">
        <v>787</v>
      </c>
      <c r="K58" s="6" t="s">
        <v>788</v>
      </c>
      <c r="L58" s="6" t="s">
        <v>789</v>
      </c>
      <c r="M58" s="6" t="s">
        <v>790</v>
      </c>
      <c r="N58" s="6" t="s">
        <v>791</v>
      </c>
      <c r="O58" s="6" t="s">
        <v>790</v>
      </c>
      <c r="P58" s="6" t="s">
        <v>791</v>
      </c>
      <c r="Q58" s="6" t="str">
        <f t="shared" si="2"/>
        <v>Alumni and Client</v>
      </c>
      <c r="R58" s="21"/>
    </row>
    <row r="59" spans="1:18" s="6" customFormat="1" x14ac:dyDescent="0.2">
      <c r="A59" s="3" t="str">
        <f t="shared" si="0"/>
        <v>BCBA</v>
      </c>
      <c r="B59" s="6" t="s">
        <v>15</v>
      </c>
      <c r="C59" s="6" t="s">
        <v>42</v>
      </c>
      <c r="D59" s="6" t="s">
        <v>43</v>
      </c>
      <c r="F59" s="6" t="s">
        <v>19</v>
      </c>
      <c r="G59" s="6" t="s">
        <v>44</v>
      </c>
      <c r="H59" s="6" t="s">
        <v>44</v>
      </c>
      <c r="I59" s="6" t="s">
        <v>18</v>
      </c>
      <c r="J59" s="6" t="s">
        <v>18</v>
      </c>
      <c r="K59" s="6" t="s">
        <v>18</v>
      </c>
      <c r="L59" s="6" t="s">
        <v>22</v>
      </c>
      <c r="M59" s="6" t="s">
        <v>20</v>
      </c>
      <c r="N59" s="6" t="s">
        <v>21</v>
      </c>
      <c r="O59" s="6" t="s">
        <v>20</v>
      </c>
      <c r="P59" s="6" t="s">
        <v>21</v>
      </c>
      <c r="Q59" s="6" t="str">
        <f t="shared" si="2"/>
        <v>BCN Other</v>
      </c>
      <c r="R59" s="21"/>
    </row>
    <row r="60" spans="1:18" s="6" customFormat="1" x14ac:dyDescent="0.2">
      <c r="A60" s="3" t="str">
        <f t="shared" si="0"/>
        <v>BCRS</v>
      </c>
      <c r="B60" s="6" t="s">
        <v>15</v>
      </c>
      <c r="C60" s="6" t="s">
        <v>140</v>
      </c>
      <c r="D60" s="6" t="s">
        <v>141</v>
      </c>
      <c r="F60" s="6" t="s">
        <v>19</v>
      </c>
      <c r="G60" s="6" t="s">
        <v>142</v>
      </c>
      <c r="H60" s="6" t="s">
        <v>142</v>
      </c>
      <c r="L60" s="6" t="s">
        <v>22</v>
      </c>
      <c r="M60" s="6" t="s">
        <v>20</v>
      </c>
      <c r="N60" s="6" t="s">
        <v>21</v>
      </c>
      <c r="O60" s="6" t="s">
        <v>20</v>
      </c>
      <c r="P60" s="6" t="s">
        <v>21</v>
      </c>
      <c r="Q60" s="6" t="str">
        <f t="shared" si="2"/>
        <v>BCN Other</v>
      </c>
      <c r="R60" s="21" t="s">
        <v>1557</v>
      </c>
    </row>
    <row r="61" spans="1:18" s="6" customFormat="1" x14ac:dyDescent="0.2">
      <c r="A61" s="3" t="str">
        <f t="shared" si="0"/>
        <v>BCBF</v>
      </c>
      <c r="B61" s="6" t="s">
        <v>23</v>
      </c>
      <c r="C61" s="6" t="s">
        <v>45</v>
      </c>
      <c r="D61" s="6" t="s">
        <v>141</v>
      </c>
      <c r="F61" s="6" t="s">
        <v>19</v>
      </c>
      <c r="G61" s="6" t="s">
        <v>142</v>
      </c>
      <c r="H61" s="6" t="s">
        <v>142</v>
      </c>
      <c r="I61" s="6" t="s">
        <v>18</v>
      </c>
      <c r="J61" s="6" t="s">
        <v>18</v>
      </c>
      <c r="K61" s="6" t="s">
        <v>18</v>
      </c>
      <c r="L61" s="6" t="s">
        <v>22</v>
      </c>
      <c r="M61" s="6" t="s">
        <v>20</v>
      </c>
      <c r="N61" s="6" t="s">
        <v>21</v>
      </c>
      <c r="O61" s="6" t="s">
        <v>20</v>
      </c>
      <c r="P61" s="6" t="s">
        <v>21</v>
      </c>
      <c r="Q61" s="6" t="str">
        <f t="shared" si="2"/>
        <v>BCN Other</v>
      </c>
      <c r="R61" s="21" t="s">
        <v>1505</v>
      </c>
    </row>
    <row r="62" spans="1:18" s="6" customFormat="1" x14ac:dyDescent="0.2">
      <c r="A62" s="3" t="str">
        <f t="shared" si="0"/>
        <v>BCSE</v>
      </c>
      <c r="B62" s="6" t="s">
        <v>23</v>
      </c>
      <c r="C62" s="6" t="s">
        <v>103</v>
      </c>
      <c r="D62" s="6" t="s">
        <v>104</v>
      </c>
      <c r="F62" s="6" t="s">
        <v>19</v>
      </c>
      <c r="G62" s="6" t="s">
        <v>105</v>
      </c>
      <c r="H62" s="6" t="s">
        <v>105</v>
      </c>
      <c r="I62" s="6" t="s">
        <v>18</v>
      </c>
      <c r="J62" s="6" t="s">
        <v>18</v>
      </c>
      <c r="K62" s="6" t="s">
        <v>18</v>
      </c>
      <c r="L62" s="6" t="s">
        <v>22</v>
      </c>
      <c r="M62" s="6" t="s">
        <v>20</v>
      </c>
      <c r="N62" s="6" t="s">
        <v>21</v>
      </c>
      <c r="O62" s="6" t="s">
        <v>20</v>
      </c>
      <c r="P62" s="6" t="s">
        <v>21</v>
      </c>
      <c r="Q62" s="6" t="str">
        <f t="shared" si="2"/>
        <v>BCN Other</v>
      </c>
      <c r="R62" s="21"/>
    </row>
    <row r="63" spans="1:18" s="6" customFormat="1" x14ac:dyDescent="0.2">
      <c r="A63" s="3" t="str">
        <f t="shared" si="0"/>
        <v>BCHV</v>
      </c>
      <c r="B63" s="6" t="s">
        <v>15</v>
      </c>
      <c r="C63" s="10" t="s">
        <v>1439</v>
      </c>
      <c r="D63" s="10" t="s">
        <v>1440</v>
      </c>
      <c r="F63" s="6" t="s">
        <v>19</v>
      </c>
      <c r="G63" s="6" t="s">
        <v>1444</v>
      </c>
      <c r="H63" s="6" t="s">
        <v>1444</v>
      </c>
      <c r="L63" s="6" t="s">
        <v>22</v>
      </c>
      <c r="M63" s="6" t="s">
        <v>20</v>
      </c>
      <c r="N63" s="6" t="s">
        <v>21</v>
      </c>
      <c r="O63" s="6" t="s">
        <v>20</v>
      </c>
      <c r="P63" s="6" t="s">
        <v>21</v>
      </c>
      <c r="Q63" s="6" t="str">
        <f t="shared" si="2"/>
        <v>BCN Other</v>
      </c>
      <c r="R63" s="21"/>
    </row>
    <row r="64" spans="1:18" s="6" customFormat="1" x14ac:dyDescent="0.2">
      <c r="A64" s="3" t="str">
        <f t="shared" si="0"/>
        <v>BCCQ</v>
      </c>
      <c r="B64" s="6" t="s">
        <v>23</v>
      </c>
      <c r="C64" s="6" t="s">
        <v>61</v>
      </c>
      <c r="D64" s="6" t="s">
        <v>134</v>
      </c>
      <c r="F64" s="6" t="s">
        <v>19</v>
      </c>
      <c r="G64" s="6" t="s">
        <v>1417</v>
      </c>
      <c r="H64" s="6" t="s">
        <v>136</v>
      </c>
      <c r="I64" s="6" t="s">
        <v>18</v>
      </c>
      <c r="J64" s="6" t="s">
        <v>18</v>
      </c>
      <c r="K64" s="6" t="s">
        <v>18</v>
      </c>
      <c r="L64" s="6" t="s">
        <v>22</v>
      </c>
      <c r="M64" s="6" t="s">
        <v>20</v>
      </c>
      <c r="N64" s="6" t="s">
        <v>21</v>
      </c>
      <c r="O64" s="6" t="s">
        <v>20</v>
      </c>
      <c r="P64" s="6" t="s">
        <v>21</v>
      </c>
      <c r="Q64" s="6" t="str">
        <f t="shared" si="2"/>
        <v>BCN Other</v>
      </c>
      <c r="R64" s="21" t="s">
        <v>1506</v>
      </c>
    </row>
    <row r="65" spans="1:18" s="6" customFormat="1" x14ac:dyDescent="0.2">
      <c r="A65" s="3" t="str">
        <f t="shared" si="0"/>
        <v>BCWJ</v>
      </c>
      <c r="B65" s="6" t="s">
        <v>23</v>
      </c>
      <c r="C65" s="6" t="s">
        <v>122</v>
      </c>
      <c r="D65" s="6" t="s">
        <v>134</v>
      </c>
      <c r="F65" s="6" t="s">
        <v>19</v>
      </c>
      <c r="G65" s="6" t="s">
        <v>1417</v>
      </c>
      <c r="H65" s="6" t="s">
        <v>136</v>
      </c>
      <c r="I65" s="6" t="s">
        <v>18</v>
      </c>
      <c r="J65" s="6" t="s">
        <v>18</v>
      </c>
      <c r="K65" s="6" t="s">
        <v>18</v>
      </c>
      <c r="L65" s="6" t="s">
        <v>22</v>
      </c>
      <c r="M65" s="6" t="s">
        <v>20</v>
      </c>
      <c r="N65" s="6" t="s">
        <v>21</v>
      </c>
      <c r="O65" s="6" t="s">
        <v>20</v>
      </c>
      <c r="P65" s="6" t="s">
        <v>21</v>
      </c>
      <c r="Q65" s="6" t="str">
        <f t="shared" si="2"/>
        <v>BCN Other</v>
      </c>
      <c r="R65" s="21" t="s">
        <v>1506</v>
      </c>
    </row>
    <row r="66" spans="1:18" s="6" customFormat="1" x14ac:dyDescent="0.2">
      <c r="A66" s="3" t="str">
        <f t="shared" ref="A66:A129" si="3">_xlfn.CONCAT(L66,I66,C66)</f>
        <v>BCXJ</v>
      </c>
      <c r="B66" s="6" t="s">
        <v>15</v>
      </c>
      <c r="C66" s="5" t="s">
        <v>133</v>
      </c>
      <c r="D66" s="5" t="s">
        <v>134</v>
      </c>
      <c r="F66" s="6" t="s">
        <v>19</v>
      </c>
      <c r="G66" s="5" t="s">
        <v>135</v>
      </c>
      <c r="H66" s="5" t="s">
        <v>136</v>
      </c>
      <c r="I66" s="6" t="s">
        <v>18</v>
      </c>
      <c r="J66" s="6" t="s">
        <v>18</v>
      </c>
      <c r="K66" s="6" t="s">
        <v>18</v>
      </c>
      <c r="L66" s="6" t="s">
        <v>22</v>
      </c>
      <c r="M66" s="6" t="s">
        <v>20</v>
      </c>
      <c r="N66" s="6" t="s">
        <v>21</v>
      </c>
      <c r="O66" s="6" t="s">
        <v>20</v>
      </c>
      <c r="P66" s="6" t="s">
        <v>21</v>
      </c>
      <c r="Q66" s="6" t="str">
        <f t="shared" si="2"/>
        <v>BCN Other</v>
      </c>
      <c r="R66" s="21" t="s">
        <v>1558</v>
      </c>
    </row>
    <row r="67" spans="1:18" s="6" customFormat="1" x14ac:dyDescent="0.2">
      <c r="A67" s="3" t="str">
        <f t="shared" si="3"/>
        <v>BCB2</v>
      </c>
      <c r="B67" s="6" t="s">
        <v>23</v>
      </c>
      <c r="C67" s="6" t="s">
        <v>24</v>
      </c>
      <c r="D67" s="6" t="s">
        <v>25</v>
      </c>
      <c r="F67" s="6" t="s">
        <v>19</v>
      </c>
      <c r="G67" s="6" t="s">
        <v>26</v>
      </c>
      <c r="H67" s="6" t="s">
        <v>27</v>
      </c>
      <c r="I67" s="6" t="s">
        <v>18</v>
      </c>
      <c r="J67" s="6" t="s">
        <v>18</v>
      </c>
      <c r="K67" s="6" t="s">
        <v>18</v>
      </c>
      <c r="L67" s="6" t="s">
        <v>22</v>
      </c>
      <c r="M67" s="6" t="s">
        <v>20</v>
      </c>
      <c r="N67" s="6" t="s">
        <v>21</v>
      </c>
      <c r="O67" s="6" t="s">
        <v>20</v>
      </c>
      <c r="P67" s="6" t="s">
        <v>21</v>
      </c>
      <c r="Q67" s="6" t="str">
        <f t="shared" ref="Q67:Q130" si="4">IF(J67&lt;&gt;"",J67,_xlfn.CONCAT(O67," Other"))</f>
        <v>BCN Other</v>
      </c>
      <c r="R67" s="25" t="s">
        <v>1507</v>
      </c>
    </row>
    <row r="68" spans="1:18" s="6" customFormat="1" x14ac:dyDescent="0.2">
      <c r="A68" s="3" t="str">
        <f t="shared" si="3"/>
        <v>BCVL</v>
      </c>
      <c r="B68" s="6" t="s">
        <v>15</v>
      </c>
      <c r="C68" s="6" t="s">
        <v>109</v>
      </c>
      <c r="D68" s="6" t="s">
        <v>110</v>
      </c>
      <c r="F68" s="6" t="s">
        <v>19</v>
      </c>
      <c r="G68" s="6" t="s">
        <v>111</v>
      </c>
      <c r="H68" s="6" t="s">
        <v>112</v>
      </c>
      <c r="I68" s="6" t="s">
        <v>18</v>
      </c>
      <c r="J68" s="6" t="s">
        <v>18</v>
      </c>
      <c r="K68" s="6" t="s">
        <v>18</v>
      </c>
      <c r="L68" s="6" t="s">
        <v>22</v>
      </c>
      <c r="M68" s="6" t="s">
        <v>20</v>
      </c>
      <c r="N68" s="6" t="s">
        <v>21</v>
      </c>
      <c r="O68" s="6" t="s">
        <v>20</v>
      </c>
      <c r="P68" s="6" t="s">
        <v>21</v>
      </c>
      <c r="Q68" s="6" t="str">
        <f t="shared" si="4"/>
        <v>BCN Other</v>
      </c>
      <c r="R68" s="21"/>
    </row>
    <row r="69" spans="1:18" s="6" customFormat="1" ht="25.5" x14ac:dyDescent="0.2">
      <c r="A69" s="3" t="str">
        <f t="shared" si="3"/>
        <v>BCB4</v>
      </c>
      <c r="B69" s="6" t="s">
        <v>23</v>
      </c>
      <c r="C69" s="6" t="s">
        <v>28</v>
      </c>
      <c r="D69" s="6" t="s">
        <v>29</v>
      </c>
      <c r="F69" s="6" t="s">
        <v>19</v>
      </c>
      <c r="G69" s="6" t="s">
        <v>30</v>
      </c>
      <c r="H69" s="6" t="s">
        <v>31</v>
      </c>
      <c r="I69" s="6" t="s">
        <v>18</v>
      </c>
      <c r="J69" s="6" t="s">
        <v>18</v>
      </c>
      <c r="K69" s="6" t="s">
        <v>18</v>
      </c>
      <c r="L69" s="6" t="s">
        <v>22</v>
      </c>
      <c r="M69" s="6" t="s">
        <v>20</v>
      </c>
      <c r="N69" s="6" t="s">
        <v>21</v>
      </c>
      <c r="O69" s="6" t="s">
        <v>20</v>
      </c>
      <c r="P69" s="6" t="s">
        <v>21</v>
      </c>
      <c r="Q69" s="6" t="str">
        <f t="shared" si="4"/>
        <v>BCN Other</v>
      </c>
      <c r="R69" s="25" t="s">
        <v>1508</v>
      </c>
    </row>
    <row r="70" spans="1:18" s="6" customFormat="1" x14ac:dyDescent="0.2">
      <c r="A70" s="3" t="str">
        <f t="shared" si="3"/>
        <v>BCNC</v>
      </c>
      <c r="B70" s="6" t="s">
        <v>15</v>
      </c>
      <c r="C70" s="6" t="s">
        <v>74</v>
      </c>
      <c r="D70" s="6" t="s">
        <v>75</v>
      </c>
      <c r="F70" s="6" t="s">
        <v>19</v>
      </c>
      <c r="G70" s="6" t="s">
        <v>76</v>
      </c>
      <c r="H70" s="6" t="s">
        <v>77</v>
      </c>
      <c r="I70" s="6" t="s">
        <v>18</v>
      </c>
      <c r="J70" s="6" t="s">
        <v>18</v>
      </c>
      <c r="K70" s="6" t="s">
        <v>18</v>
      </c>
      <c r="L70" s="6" t="s">
        <v>22</v>
      </c>
      <c r="M70" s="6" t="s">
        <v>20</v>
      </c>
      <c r="N70" s="6" t="s">
        <v>21</v>
      </c>
      <c r="O70" s="6" t="s">
        <v>20</v>
      </c>
      <c r="P70" s="6" t="s">
        <v>21</v>
      </c>
      <c r="Q70" s="6" t="str">
        <f t="shared" si="4"/>
        <v>BCN Other</v>
      </c>
      <c r="R70" s="21"/>
    </row>
    <row r="71" spans="1:18" s="6" customFormat="1" x14ac:dyDescent="0.2">
      <c r="A71" s="3" t="str">
        <f t="shared" si="3"/>
        <v>BCB5</v>
      </c>
      <c r="B71" s="6" t="s">
        <v>23</v>
      </c>
      <c r="C71" s="6" t="s">
        <v>32</v>
      </c>
      <c r="D71" s="6" t="s">
        <v>1422</v>
      </c>
      <c r="F71" s="6" t="s">
        <v>19</v>
      </c>
      <c r="G71" s="6" t="s">
        <v>1423</v>
      </c>
      <c r="H71" s="6" t="s">
        <v>1424</v>
      </c>
      <c r="I71" s="6" t="s">
        <v>18</v>
      </c>
      <c r="J71" s="6" t="s">
        <v>18</v>
      </c>
      <c r="K71" s="6" t="s">
        <v>18</v>
      </c>
      <c r="L71" s="6" t="s">
        <v>22</v>
      </c>
      <c r="M71" s="6" t="s">
        <v>20</v>
      </c>
      <c r="N71" s="6" t="s">
        <v>21</v>
      </c>
      <c r="O71" s="6" t="s">
        <v>20</v>
      </c>
      <c r="P71" s="6" t="s">
        <v>21</v>
      </c>
      <c r="Q71" s="6" t="str">
        <f t="shared" si="4"/>
        <v>BCN Other</v>
      </c>
      <c r="R71" s="21" t="s">
        <v>1560</v>
      </c>
    </row>
    <row r="72" spans="1:18" s="6" customFormat="1" x14ac:dyDescent="0.2">
      <c r="A72" s="3" t="str">
        <f t="shared" si="3"/>
        <v>BCNM</v>
      </c>
      <c r="B72" s="6" t="s">
        <v>23</v>
      </c>
      <c r="C72" s="6" t="s">
        <v>88</v>
      </c>
      <c r="D72" s="6" t="s">
        <v>1422</v>
      </c>
      <c r="F72" s="6" t="s">
        <v>19</v>
      </c>
      <c r="G72" s="6" t="s">
        <v>1423</v>
      </c>
      <c r="H72" s="6" t="s">
        <v>1424</v>
      </c>
      <c r="I72" s="6" t="s">
        <v>18</v>
      </c>
      <c r="J72" s="6" t="s">
        <v>18</v>
      </c>
      <c r="K72" s="6" t="s">
        <v>18</v>
      </c>
      <c r="L72" s="6" t="s">
        <v>22</v>
      </c>
      <c r="M72" s="6" t="s">
        <v>20</v>
      </c>
      <c r="N72" s="6" t="s">
        <v>21</v>
      </c>
      <c r="O72" s="6" t="s">
        <v>20</v>
      </c>
      <c r="P72" s="6" t="s">
        <v>21</v>
      </c>
      <c r="Q72" s="6" t="str">
        <f t="shared" si="4"/>
        <v>BCN Other</v>
      </c>
      <c r="R72" s="21" t="s">
        <v>1560</v>
      </c>
    </row>
    <row r="73" spans="1:18" s="6" customFormat="1" x14ac:dyDescent="0.2">
      <c r="A73" s="3" t="str">
        <f t="shared" si="3"/>
        <v>BCHQ</v>
      </c>
      <c r="B73" s="6" t="s">
        <v>15</v>
      </c>
      <c r="C73" s="6" t="s">
        <v>1421</v>
      </c>
      <c r="D73" s="6" t="s">
        <v>1422</v>
      </c>
      <c r="F73" s="6" t="s">
        <v>19</v>
      </c>
      <c r="G73" s="6" t="s">
        <v>1423</v>
      </c>
      <c r="H73" s="6" t="s">
        <v>1424</v>
      </c>
      <c r="L73" s="6" t="s">
        <v>22</v>
      </c>
      <c r="M73" s="6" t="s">
        <v>20</v>
      </c>
      <c r="N73" s="6" t="s">
        <v>21</v>
      </c>
      <c r="O73" s="6" t="s">
        <v>20</v>
      </c>
      <c r="P73" s="6" t="s">
        <v>21</v>
      </c>
      <c r="Q73" s="6" t="str">
        <f t="shared" si="4"/>
        <v>BCN Other</v>
      </c>
      <c r="R73" s="21" t="s">
        <v>1559</v>
      </c>
    </row>
    <row r="74" spans="1:18" s="6" customFormat="1" x14ac:dyDescent="0.2">
      <c r="A74" s="3" t="str">
        <f t="shared" si="3"/>
        <v>BCND</v>
      </c>
      <c r="B74" s="6" t="s">
        <v>23</v>
      </c>
      <c r="C74" s="6" t="s">
        <v>78</v>
      </c>
      <c r="D74" s="30" t="s">
        <v>63</v>
      </c>
      <c r="F74" s="6" t="s">
        <v>19</v>
      </c>
      <c r="G74" s="6" t="s">
        <v>64</v>
      </c>
      <c r="H74" s="6" t="s">
        <v>64</v>
      </c>
      <c r="I74" s="6" t="s">
        <v>18</v>
      </c>
      <c r="J74" s="6" t="s">
        <v>18</v>
      </c>
      <c r="K74" s="6" t="s">
        <v>18</v>
      </c>
      <c r="L74" s="6" t="s">
        <v>22</v>
      </c>
      <c r="M74" s="6" t="s">
        <v>20</v>
      </c>
      <c r="N74" s="6" t="s">
        <v>21</v>
      </c>
      <c r="O74" s="6" t="s">
        <v>20</v>
      </c>
      <c r="P74" s="6" t="s">
        <v>21</v>
      </c>
      <c r="Q74" s="6" t="str">
        <f t="shared" si="4"/>
        <v>BCN Other</v>
      </c>
      <c r="R74" s="21" t="s">
        <v>1607</v>
      </c>
    </row>
    <row r="75" spans="1:18" s="6" customFormat="1" x14ac:dyDescent="0.2">
      <c r="A75" s="3" t="str">
        <f t="shared" si="3"/>
        <v>BCDT</v>
      </c>
      <c r="B75" s="6" t="s">
        <v>23</v>
      </c>
      <c r="C75" s="6" t="s">
        <v>62</v>
      </c>
      <c r="D75" s="30" t="s">
        <v>63</v>
      </c>
      <c r="F75" s="6" t="s">
        <v>19</v>
      </c>
      <c r="G75" s="6" t="s">
        <v>64</v>
      </c>
      <c r="H75" s="6" t="s">
        <v>64</v>
      </c>
      <c r="I75" s="6" t="s">
        <v>18</v>
      </c>
      <c r="J75" s="6" t="s">
        <v>18</v>
      </c>
      <c r="K75" s="6" t="s">
        <v>18</v>
      </c>
      <c r="L75" s="6" t="s">
        <v>22</v>
      </c>
      <c r="M75" s="6" t="s">
        <v>20</v>
      </c>
      <c r="N75" s="6" t="s">
        <v>21</v>
      </c>
      <c r="O75" s="6" t="s">
        <v>20</v>
      </c>
      <c r="P75" s="6" t="s">
        <v>21</v>
      </c>
      <c r="Q75" s="6" t="str">
        <f t="shared" si="4"/>
        <v>BCN Other</v>
      </c>
      <c r="R75" s="21" t="s">
        <v>1607</v>
      </c>
    </row>
    <row r="76" spans="1:18" s="6" customFormat="1" x14ac:dyDescent="0.2">
      <c r="A76" s="3" t="str">
        <f t="shared" si="3"/>
        <v>BCII</v>
      </c>
      <c r="B76" s="6" t="s">
        <v>23</v>
      </c>
      <c r="C76" s="6" t="s">
        <v>71</v>
      </c>
      <c r="D76" s="30" t="s">
        <v>63</v>
      </c>
      <c r="F76" s="6" t="s">
        <v>19</v>
      </c>
      <c r="G76" s="6" t="s">
        <v>64</v>
      </c>
      <c r="H76" s="6" t="s">
        <v>64</v>
      </c>
      <c r="I76" s="6" t="s">
        <v>18</v>
      </c>
      <c r="J76" s="6" t="s">
        <v>18</v>
      </c>
      <c r="K76" s="6" t="s">
        <v>18</v>
      </c>
      <c r="L76" s="6" t="s">
        <v>22</v>
      </c>
      <c r="M76" s="6" t="s">
        <v>20</v>
      </c>
      <c r="N76" s="6" t="s">
        <v>21</v>
      </c>
      <c r="O76" s="6" t="s">
        <v>20</v>
      </c>
      <c r="P76" s="6" t="s">
        <v>21</v>
      </c>
      <c r="Q76" s="6" t="str">
        <f t="shared" si="4"/>
        <v>BCN Other</v>
      </c>
      <c r="R76" s="21" t="s">
        <v>1607</v>
      </c>
    </row>
    <row r="77" spans="1:18" s="6" customFormat="1" x14ac:dyDescent="0.2">
      <c r="A77" s="3" t="str">
        <f t="shared" si="3"/>
        <v>THME_SUBCG</v>
      </c>
      <c r="B77" s="6" t="s">
        <v>23</v>
      </c>
      <c r="C77" s="6" t="s">
        <v>973</v>
      </c>
      <c r="D77" s="30" t="s">
        <v>1752</v>
      </c>
      <c r="E77" s="6" t="s">
        <v>1585</v>
      </c>
      <c r="F77" s="6" t="s">
        <v>884</v>
      </c>
      <c r="G77" s="6" t="s">
        <v>1755</v>
      </c>
      <c r="H77" s="6" t="s">
        <v>1755</v>
      </c>
      <c r="I77" s="20" t="s">
        <v>1588</v>
      </c>
      <c r="J77" s="6" t="s">
        <v>1589</v>
      </c>
      <c r="K77" s="6" t="s">
        <v>1590</v>
      </c>
      <c r="L77" s="6" t="s">
        <v>887</v>
      </c>
      <c r="M77" s="6" t="s">
        <v>888</v>
      </c>
      <c r="N77" s="6" t="s">
        <v>889</v>
      </c>
      <c r="O77" s="6" t="s">
        <v>888</v>
      </c>
      <c r="P77" s="6" t="s">
        <v>889</v>
      </c>
      <c r="Q77" s="6" t="str">
        <f t="shared" si="4"/>
        <v>Strategy &amp; Experience</v>
      </c>
      <c r="R77" s="21" t="s">
        <v>1743</v>
      </c>
    </row>
    <row r="78" spans="1:18" s="6" customFormat="1" x14ac:dyDescent="0.2">
      <c r="A78" s="3" t="str">
        <f t="shared" si="3"/>
        <v>BCHW</v>
      </c>
      <c r="B78" s="6" t="s">
        <v>15</v>
      </c>
      <c r="C78" s="10" t="s">
        <v>1435</v>
      </c>
      <c r="D78" s="10" t="s">
        <v>1436</v>
      </c>
      <c r="F78" s="6" t="s">
        <v>19</v>
      </c>
      <c r="G78" s="6" t="s">
        <v>1442</v>
      </c>
      <c r="H78" s="6" t="s">
        <v>1442</v>
      </c>
      <c r="L78" s="6" t="s">
        <v>22</v>
      </c>
      <c r="M78" s="6" t="s">
        <v>20</v>
      </c>
      <c r="N78" s="6" t="s">
        <v>21</v>
      </c>
      <c r="O78" s="6" t="s">
        <v>20</v>
      </c>
      <c r="P78" s="6" t="s">
        <v>21</v>
      </c>
      <c r="Q78" s="6" t="str">
        <f t="shared" si="4"/>
        <v>BCN Other</v>
      </c>
      <c r="R78" s="21"/>
    </row>
    <row r="79" spans="1:18" s="6" customFormat="1" x14ac:dyDescent="0.2">
      <c r="A79" s="3" t="str">
        <f t="shared" si="3"/>
        <v>BCB7</v>
      </c>
      <c r="B79" s="6" t="s">
        <v>15</v>
      </c>
      <c r="C79" s="6" t="s">
        <v>34</v>
      </c>
      <c r="D79" s="6" t="s">
        <v>35</v>
      </c>
      <c r="F79" s="6" t="s">
        <v>19</v>
      </c>
      <c r="G79" s="6" t="s">
        <v>36</v>
      </c>
      <c r="H79" s="6" t="s">
        <v>36</v>
      </c>
      <c r="I79" s="6" t="s">
        <v>18</v>
      </c>
      <c r="J79" s="6" t="s">
        <v>18</v>
      </c>
      <c r="K79" s="6" t="s">
        <v>18</v>
      </c>
      <c r="L79" s="6" t="s">
        <v>22</v>
      </c>
      <c r="M79" s="6" t="s">
        <v>20</v>
      </c>
      <c r="N79" s="6" t="s">
        <v>21</v>
      </c>
      <c r="O79" s="6" t="s">
        <v>20</v>
      </c>
      <c r="P79" s="6" t="s">
        <v>21</v>
      </c>
      <c r="Q79" s="6" t="str">
        <f t="shared" si="4"/>
        <v>BCN Other</v>
      </c>
      <c r="R79" s="21"/>
    </row>
    <row r="80" spans="1:18" s="6" customFormat="1" x14ac:dyDescent="0.2">
      <c r="A80" s="3" t="str">
        <f t="shared" si="3"/>
        <v>BCXX_BCN</v>
      </c>
      <c r="B80" s="6" t="s">
        <v>23</v>
      </c>
      <c r="C80" s="6" t="s">
        <v>137</v>
      </c>
      <c r="D80" s="6" t="s">
        <v>138</v>
      </c>
      <c r="F80" s="6" t="s">
        <v>19</v>
      </c>
      <c r="G80" s="6" t="s">
        <v>139</v>
      </c>
      <c r="H80" s="6" t="s">
        <v>139</v>
      </c>
      <c r="I80" s="6" t="s">
        <v>18</v>
      </c>
      <c r="J80" s="6" t="s">
        <v>18</v>
      </c>
      <c r="K80" s="6" t="s">
        <v>18</v>
      </c>
      <c r="L80" s="6" t="s">
        <v>22</v>
      </c>
      <c r="M80" s="6" t="s">
        <v>20</v>
      </c>
      <c r="N80" s="6" t="s">
        <v>21</v>
      </c>
      <c r="O80" s="6" t="s">
        <v>20</v>
      </c>
      <c r="P80" s="6" t="s">
        <v>21</v>
      </c>
      <c r="Q80" s="6" t="str">
        <f t="shared" si="4"/>
        <v>BCN Other</v>
      </c>
      <c r="R80" s="21"/>
    </row>
    <row r="81" spans="1:18" s="6" customFormat="1" x14ac:dyDescent="0.2">
      <c r="A81" s="3" t="str">
        <f t="shared" si="3"/>
        <v>BCNE</v>
      </c>
      <c r="B81" s="6" t="s">
        <v>15</v>
      </c>
      <c r="C81" s="6" t="s">
        <v>80</v>
      </c>
      <c r="D81" s="6" t="s">
        <v>81</v>
      </c>
      <c r="F81" s="6" t="s">
        <v>19</v>
      </c>
      <c r="G81" s="6" t="s">
        <v>82</v>
      </c>
      <c r="H81" s="6" t="s">
        <v>82</v>
      </c>
      <c r="I81" s="6" t="s">
        <v>18</v>
      </c>
      <c r="J81" s="6" t="s">
        <v>18</v>
      </c>
      <c r="K81" s="6" t="s">
        <v>18</v>
      </c>
      <c r="L81" s="6" t="s">
        <v>22</v>
      </c>
      <c r="M81" s="6" t="s">
        <v>20</v>
      </c>
      <c r="N81" s="6" t="s">
        <v>21</v>
      </c>
      <c r="O81" s="6" t="s">
        <v>20</v>
      </c>
      <c r="P81" s="6" t="s">
        <v>21</v>
      </c>
      <c r="Q81" s="6" t="str">
        <f t="shared" si="4"/>
        <v>BCN Other</v>
      </c>
      <c r="R81" s="21"/>
    </row>
    <row r="82" spans="1:18" s="6" customFormat="1" x14ac:dyDescent="0.2">
      <c r="A82" s="3" t="str">
        <f t="shared" si="3"/>
        <v>BCVN</v>
      </c>
      <c r="B82" s="6" t="s">
        <v>15</v>
      </c>
      <c r="C82" s="5" t="s">
        <v>116</v>
      </c>
      <c r="D82" s="5" t="s">
        <v>117</v>
      </c>
      <c r="F82" s="6" t="s">
        <v>19</v>
      </c>
      <c r="G82" s="5" t="s">
        <v>118</v>
      </c>
      <c r="H82" s="5" t="s">
        <v>119</v>
      </c>
      <c r="I82" s="6" t="s">
        <v>18</v>
      </c>
      <c r="J82" s="6" t="s">
        <v>18</v>
      </c>
      <c r="K82" s="6" t="s">
        <v>18</v>
      </c>
      <c r="L82" s="6" t="s">
        <v>22</v>
      </c>
      <c r="M82" s="6" t="s">
        <v>20</v>
      </c>
      <c r="N82" s="6" t="s">
        <v>21</v>
      </c>
      <c r="O82" s="6" t="s">
        <v>20</v>
      </c>
      <c r="P82" s="6" t="s">
        <v>21</v>
      </c>
      <c r="Q82" s="6" t="str">
        <f t="shared" si="4"/>
        <v>BCN Other</v>
      </c>
      <c r="R82" s="21"/>
    </row>
    <row r="83" spans="1:18" s="6" customFormat="1" x14ac:dyDescent="0.2">
      <c r="A83" s="3" t="str">
        <f t="shared" si="3"/>
        <v>BCB8</v>
      </c>
      <c r="B83" s="6" t="s">
        <v>15</v>
      </c>
      <c r="C83" s="6" t="s">
        <v>37</v>
      </c>
      <c r="D83" s="6" t="s">
        <v>38</v>
      </c>
      <c r="F83" s="6" t="s">
        <v>19</v>
      </c>
      <c r="G83" s="6" t="s">
        <v>39</v>
      </c>
      <c r="H83" s="6" t="s">
        <v>39</v>
      </c>
      <c r="I83" s="6" t="s">
        <v>18</v>
      </c>
      <c r="J83" s="6" t="s">
        <v>18</v>
      </c>
      <c r="K83" s="6" t="s">
        <v>18</v>
      </c>
      <c r="L83" s="6" t="s">
        <v>22</v>
      </c>
      <c r="M83" s="6" t="s">
        <v>20</v>
      </c>
      <c r="N83" s="6" t="s">
        <v>21</v>
      </c>
      <c r="O83" s="6" t="s">
        <v>20</v>
      </c>
      <c r="P83" s="6" t="s">
        <v>21</v>
      </c>
      <c r="Q83" s="6" t="str">
        <f t="shared" si="4"/>
        <v>BCN Other</v>
      </c>
      <c r="R83" s="21"/>
    </row>
    <row r="84" spans="1:18" s="6" customFormat="1" x14ac:dyDescent="0.2">
      <c r="A84" s="3" t="str">
        <f t="shared" si="3"/>
        <v>BCFX</v>
      </c>
      <c r="B84" s="6" t="s">
        <v>23</v>
      </c>
      <c r="C84" s="6" t="s">
        <v>65</v>
      </c>
      <c r="D84" s="6" t="s">
        <v>66</v>
      </c>
      <c r="F84" s="6" t="s">
        <v>19</v>
      </c>
      <c r="G84" s="6" t="s">
        <v>67</v>
      </c>
      <c r="H84" s="6" t="s">
        <v>67</v>
      </c>
      <c r="I84" s="6" t="s">
        <v>18</v>
      </c>
      <c r="J84" s="6" t="s">
        <v>18</v>
      </c>
      <c r="K84" s="6" t="s">
        <v>18</v>
      </c>
      <c r="L84" s="6" t="s">
        <v>22</v>
      </c>
      <c r="M84" s="6" t="s">
        <v>20</v>
      </c>
      <c r="N84" s="6" t="s">
        <v>21</v>
      </c>
      <c r="O84" s="6" t="s">
        <v>20</v>
      </c>
      <c r="P84" s="6" t="s">
        <v>21</v>
      </c>
      <c r="Q84" s="6" t="str">
        <f t="shared" si="4"/>
        <v>BCN Other</v>
      </c>
      <c r="R84" s="25" t="s">
        <v>1509</v>
      </c>
    </row>
    <row r="85" spans="1:18" s="6" customFormat="1" x14ac:dyDescent="0.2">
      <c r="A85" s="3" t="str">
        <f t="shared" si="3"/>
        <v>BCBH</v>
      </c>
      <c r="B85" s="6" t="s">
        <v>15</v>
      </c>
      <c r="C85" s="6" t="s">
        <v>46</v>
      </c>
      <c r="D85" s="6" t="s">
        <v>47</v>
      </c>
      <c r="F85" s="6" t="s">
        <v>19</v>
      </c>
      <c r="G85" s="6" t="s">
        <v>48</v>
      </c>
      <c r="H85" s="6" t="s">
        <v>48</v>
      </c>
      <c r="I85" s="6" t="s">
        <v>18</v>
      </c>
      <c r="J85" s="6" t="s">
        <v>18</v>
      </c>
      <c r="K85" s="6" t="s">
        <v>18</v>
      </c>
      <c r="L85" s="6" t="s">
        <v>22</v>
      </c>
      <c r="M85" s="6" t="s">
        <v>20</v>
      </c>
      <c r="N85" s="6" t="s">
        <v>21</v>
      </c>
      <c r="O85" s="6" t="s">
        <v>20</v>
      </c>
      <c r="P85" s="6" t="s">
        <v>21</v>
      </c>
      <c r="Q85" s="6" t="str">
        <f t="shared" si="4"/>
        <v>BCN Other</v>
      </c>
      <c r="R85" s="21"/>
    </row>
    <row r="86" spans="1:18" s="6" customFormat="1" x14ac:dyDescent="0.2">
      <c r="A86" s="3" t="str">
        <f t="shared" si="3"/>
        <v>THGR_SUBWY</v>
      </c>
      <c r="B86" s="6" t="s">
        <v>23</v>
      </c>
      <c r="C86" s="6" t="s">
        <v>968</v>
      </c>
      <c r="D86" s="6" t="s">
        <v>969</v>
      </c>
      <c r="E86" s="6" t="s">
        <v>921</v>
      </c>
      <c r="F86" s="6" t="s">
        <v>884</v>
      </c>
      <c r="G86" s="6" t="s">
        <v>970</v>
      </c>
      <c r="H86" s="6" t="s">
        <v>970</v>
      </c>
      <c r="I86" s="6" t="s">
        <v>923</v>
      </c>
      <c r="J86" s="6" t="s">
        <v>924</v>
      </c>
      <c r="K86" s="6" t="s">
        <v>925</v>
      </c>
      <c r="L86" s="6" t="s">
        <v>887</v>
      </c>
      <c r="M86" s="6" t="s">
        <v>888</v>
      </c>
      <c r="N86" s="6" t="s">
        <v>889</v>
      </c>
      <c r="O86" s="6" t="s">
        <v>888</v>
      </c>
      <c r="P86" s="6" t="s">
        <v>889</v>
      </c>
      <c r="Q86" s="6" t="str">
        <f t="shared" si="4"/>
        <v>HR &amp; Talent Mgmt.</v>
      </c>
      <c r="R86" s="21"/>
    </row>
    <row r="87" spans="1:18" s="6" customFormat="1" ht="38.25" x14ac:dyDescent="0.2">
      <c r="A87" s="3" t="str">
        <f t="shared" si="3"/>
        <v>BCIU</v>
      </c>
      <c r="B87" s="6" t="s">
        <v>23</v>
      </c>
      <c r="C87" s="6" t="s">
        <v>73</v>
      </c>
      <c r="D87" s="6" t="s">
        <v>1512</v>
      </c>
      <c r="F87" s="6" t="s">
        <v>19</v>
      </c>
      <c r="G87" s="5" t="s">
        <v>1513</v>
      </c>
      <c r="H87" s="5" t="s">
        <v>1513</v>
      </c>
      <c r="I87" s="6" t="s">
        <v>18</v>
      </c>
      <c r="J87" s="6" t="s">
        <v>18</v>
      </c>
      <c r="K87" s="6" t="s">
        <v>18</v>
      </c>
      <c r="L87" s="6" t="s">
        <v>22</v>
      </c>
      <c r="M87" s="6" t="s">
        <v>20</v>
      </c>
      <c r="N87" s="6" t="s">
        <v>21</v>
      </c>
      <c r="O87" s="6" t="s">
        <v>20</v>
      </c>
      <c r="P87" s="6" t="s">
        <v>21</v>
      </c>
      <c r="Q87" s="6" t="str">
        <f t="shared" si="4"/>
        <v>BCN Other</v>
      </c>
      <c r="R87" s="21" t="s">
        <v>1514</v>
      </c>
    </row>
    <row r="88" spans="1:18" s="6" customFormat="1" x14ac:dyDescent="0.2">
      <c r="A88" s="3" t="str">
        <f t="shared" si="3"/>
        <v>BCID</v>
      </c>
      <c r="B88" s="6" t="s">
        <v>23</v>
      </c>
      <c r="C88" s="6" t="s">
        <v>68</v>
      </c>
      <c r="D88" s="6" t="s">
        <v>69</v>
      </c>
      <c r="F88" s="6" t="s">
        <v>19</v>
      </c>
      <c r="G88" s="6" t="s">
        <v>70</v>
      </c>
      <c r="H88" s="6" t="s">
        <v>70</v>
      </c>
      <c r="I88" s="6" t="s">
        <v>18</v>
      </c>
      <c r="J88" s="6" t="s">
        <v>18</v>
      </c>
      <c r="K88" s="6" t="s">
        <v>18</v>
      </c>
      <c r="L88" s="6" t="s">
        <v>22</v>
      </c>
      <c r="M88" s="6" t="s">
        <v>20</v>
      </c>
      <c r="N88" s="6" t="s">
        <v>21</v>
      </c>
      <c r="O88" s="6" t="s">
        <v>20</v>
      </c>
      <c r="P88" s="6" t="s">
        <v>21</v>
      </c>
      <c r="Q88" s="6" t="str">
        <f t="shared" si="4"/>
        <v>BCN Other</v>
      </c>
      <c r="R88" s="21"/>
    </row>
    <row r="89" spans="1:18" s="6" customFormat="1" x14ac:dyDescent="0.2">
      <c r="A89" s="3" t="str">
        <f t="shared" si="3"/>
        <v>BCHU</v>
      </c>
      <c r="B89" s="6" t="s">
        <v>15</v>
      </c>
      <c r="C89" s="10" t="s">
        <v>1437</v>
      </c>
      <c r="D89" s="10" t="s">
        <v>1438</v>
      </c>
      <c r="F89" s="6" t="s">
        <v>19</v>
      </c>
      <c r="G89" s="6" t="s">
        <v>1443</v>
      </c>
      <c r="H89" s="6" t="s">
        <v>1443</v>
      </c>
      <c r="L89" s="6" t="s">
        <v>22</v>
      </c>
      <c r="M89" s="6" t="s">
        <v>20</v>
      </c>
      <c r="N89" s="6" t="s">
        <v>21</v>
      </c>
      <c r="O89" s="6" t="s">
        <v>20</v>
      </c>
      <c r="P89" s="6" t="s">
        <v>21</v>
      </c>
      <c r="Q89" s="6" t="str">
        <f t="shared" si="4"/>
        <v>BCN Other</v>
      </c>
      <c r="R89" s="21"/>
    </row>
    <row r="90" spans="1:18" s="6" customFormat="1" x14ac:dyDescent="0.2">
      <c r="A90" s="3" t="str">
        <f t="shared" si="3"/>
        <v>BCNL</v>
      </c>
      <c r="B90" s="6" t="s">
        <v>15</v>
      </c>
      <c r="C90" s="6" t="s">
        <v>85</v>
      </c>
      <c r="D90" s="6" t="s">
        <v>86</v>
      </c>
      <c r="F90" s="6" t="s">
        <v>19</v>
      </c>
      <c r="G90" s="6" t="s">
        <v>87</v>
      </c>
      <c r="H90" s="6" t="s">
        <v>87</v>
      </c>
      <c r="I90" s="6" t="s">
        <v>18</v>
      </c>
      <c r="J90" s="6" t="s">
        <v>18</v>
      </c>
      <c r="K90" s="6" t="s">
        <v>18</v>
      </c>
      <c r="L90" s="6" t="s">
        <v>22</v>
      </c>
      <c r="M90" s="6" t="s">
        <v>20</v>
      </c>
      <c r="N90" s="6" t="s">
        <v>21</v>
      </c>
      <c r="O90" s="6" t="s">
        <v>20</v>
      </c>
      <c r="P90" s="6" t="s">
        <v>21</v>
      </c>
      <c r="Q90" s="6" t="str">
        <f t="shared" si="4"/>
        <v>BCN Other</v>
      </c>
      <c r="R90" s="21"/>
    </row>
    <row r="91" spans="1:18" s="6" customFormat="1" x14ac:dyDescent="0.2">
      <c r="A91" s="3" t="str">
        <f t="shared" si="3"/>
        <v>BCNU</v>
      </c>
      <c r="B91" s="6" t="s">
        <v>23</v>
      </c>
      <c r="C91" s="6" t="s">
        <v>94</v>
      </c>
      <c r="D91" s="6" t="s">
        <v>95</v>
      </c>
      <c r="F91" s="6" t="s">
        <v>19</v>
      </c>
      <c r="G91" s="6" t="s">
        <v>96</v>
      </c>
      <c r="H91" s="6" t="s">
        <v>96</v>
      </c>
      <c r="I91" s="6" t="s">
        <v>18</v>
      </c>
      <c r="J91" s="6" t="s">
        <v>18</v>
      </c>
      <c r="K91" s="6" t="s">
        <v>18</v>
      </c>
      <c r="L91" s="6" t="s">
        <v>22</v>
      </c>
      <c r="M91" s="6" t="s">
        <v>20</v>
      </c>
      <c r="N91" s="6" t="s">
        <v>21</v>
      </c>
      <c r="O91" s="6" t="s">
        <v>20</v>
      </c>
      <c r="P91" s="6" t="s">
        <v>21</v>
      </c>
      <c r="Q91" s="6" t="str">
        <f t="shared" si="4"/>
        <v>BCN Other</v>
      </c>
      <c r="R91" s="21"/>
    </row>
    <row r="92" spans="1:18" s="6" customFormat="1" x14ac:dyDescent="0.2">
      <c r="A92" s="3" t="str">
        <f t="shared" si="3"/>
        <v>BCC2</v>
      </c>
      <c r="B92" s="6" t="s">
        <v>15</v>
      </c>
      <c r="C92" s="6" t="s">
        <v>58</v>
      </c>
      <c r="D92" s="6" t="s">
        <v>59</v>
      </c>
      <c r="F92" s="6" t="s">
        <v>19</v>
      </c>
      <c r="G92" s="6" t="s">
        <v>60</v>
      </c>
      <c r="H92" s="6" t="s">
        <v>60</v>
      </c>
      <c r="I92" s="6" t="s">
        <v>18</v>
      </c>
      <c r="J92" s="6" t="s">
        <v>18</v>
      </c>
      <c r="K92" s="6" t="s">
        <v>18</v>
      </c>
      <c r="L92" s="6" t="s">
        <v>22</v>
      </c>
      <c r="M92" s="6" t="s">
        <v>20</v>
      </c>
      <c r="N92" s="6" t="s">
        <v>21</v>
      </c>
      <c r="O92" s="6" t="s">
        <v>20</v>
      </c>
      <c r="P92" s="6" t="s">
        <v>21</v>
      </c>
      <c r="Q92" s="6" t="str">
        <f t="shared" si="4"/>
        <v>BCN Other</v>
      </c>
      <c r="R92" s="21"/>
    </row>
    <row r="93" spans="1:18" s="6" customFormat="1" x14ac:dyDescent="0.2">
      <c r="A93" s="3" t="str">
        <f t="shared" si="3"/>
        <v>BCWM</v>
      </c>
      <c r="B93" s="6" t="s">
        <v>15</v>
      </c>
      <c r="C93" s="6" t="s">
        <v>126</v>
      </c>
      <c r="D93" s="6" t="s">
        <v>127</v>
      </c>
      <c r="F93" s="6" t="s">
        <v>19</v>
      </c>
      <c r="G93" s="6" t="s">
        <v>128</v>
      </c>
      <c r="H93" s="6" t="s">
        <v>128</v>
      </c>
      <c r="I93" s="6" t="s">
        <v>18</v>
      </c>
      <c r="J93" s="6" t="s">
        <v>18</v>
      </c>
      <c r="K93" s="6" t="s">
        <v>18</v>
      </c>
      <c r="L93" s="6" t="s">
        <v>22</v>
      </c>
      <c r="M93" s="6" t="s">
        <v>20</v>
      </c>
      <c r="N93" s="6" t="s">
        <v>21</v>
      </c>
      <c r="O93" s="6" t="s">
        <v>20</v>
      </c>
      <c r="P93" s="6" t="s">
        <v>21</v>
      </c>
      <c r="Q93" s="6" t="str">
        <f t="shared" si="4"/>
        <v>BCN Other</v>
      </c>
      <c r="R93" s="21"/>
    </row>
    <row r="94" spans="1:18" s="6" customFormat="1" x14ac:dyDescent="0.2">
      <c r="A94" s="3" t="str">
        <f t="shared" si="3"/>
        <v>BCHS</v>
      </c>
      <c r="B94" s="6" t="s">
        <v>15</v>
      </c>
      <c r="C94" s="10" t="s">
        <v>1433</v>
      </c>
      <c r="D94" s="10" t="s">
        <v>1434</v>
      </c>
      <c r="F94" s="6" t="s">
        <v>19</v>
      </c>
      <c r="G94" s="6" t="s">
        <v>1441</v>
      </c>
      <c r="H94" s="6" t="s">
        <v>1441</v>
      </c>
      <c r="L94" s="6" t="s">
        <v>22</v>
      </c>
      <c r="M94" s="6" t="s">
        <v>20</v>
      </c>
      <c r="N94" s="6" t="s">
        <v>21</v>
      </c>
      <c r="O94" s="6" t="s">
        <v>20</v>
      </c>
      <c r="P94" s="6" t="s">
        <v>21</v>
      </c>
      <c r="Q94" s="6" t="str">
        <f t="shared" si="4"/>
        <v>BCN Other</v>
      </c>
      <c r="R94" s="21" t="s">
        <v>1511</v>
      </c>
    </row>
    <row r="95" spans="1:18" s="6" customFormat="1" x14ac:dyDescent="0.2">
      <c r="A95" s="3" t="str">
        <f t="shared" si="3"/>
        <v>BCC1</v>
      </c>
      <c r="B95" s="6" t="s">
        <v>23</v>
      </c>
      <c r="C95" s="6" t="s">
        <v>55</v>
      </c>
      <c r="D95" s="6" t="s">
        <v>56</v>
      </c>
      <c r="F95" s="6" t="s">
        <v>19</v>
      </c>
      <c r="G95" s="6" t="s">
        <v>57</v>
      </c>
      <c r="H95" s="6" t="s">
        <v>57</v>
      </c>
      <c r="I95" s="6" t="s">
        <v>18</v>
      </c>
      <c r="J95" s="6" t="s">
        <v>18</v>
      </c>
      <c r="K95" s="6" t="s">
        <v>18</v>
      </c>
      <c r="L95" s="6" t="s">
        <v>22</v>
      </c>
      <c r="M95" s="6" t="s">
        <v>20</v>
      </c>
      <c r="N95" s="6" t="s">
        <v>21</v>
      </c>
      <c r="O95" s="6" t="s">
        <v>20</v>
      </c>
      <c r="P95" s="6" t="s">
        <v>21</v>
      </c>
      <c r="Q95" s="6" t="str">
        <f t="shared" si="4"/>
        <v>BCN Other</v>
      </c>
      <c r="R95" s="25" t="s">
        <v>1510</v>
      </c>
    </row>
    <row r="96" spans="1:18" s="6" customFormat="1" x14ac:dyDescent="0.2">
      <c r="A96" s="3" t="str">
        <f t="shared" si="3"/>
        <v>BCWL</v>
      </c>
      <c r="B96" s="6" t="s">
        <v>15</v>
      </c>
      <c r="C96" s="6" t="s">
        <v>123</v>
      </c>
      <c r="D96" s="6" t="s">
        <v>124</v>
      </c>
      <c r="F96" s="6" t="s">
        <v>19</v>
      </c>
      <c r="G96" s="6" t="s">
        <v>125</v>
      </c>
      <c r="H96" s="6" t="s">
        <v>125</v>
      </c>
      <c r="I96" s="6" t="s">
        <v>18</v>
      </c>
      <c r="J96" s="6" t="s">
        <v>18</v>
      </c>
      <c r="K96" s="6" t="s">
        <v>18</v>
      </c>
      <c r="L96" s="6" t="s">
        <v>22</v>
      </c>
      <c r="M96" s="6" t="s">
        <v>20</v>
      </c>
      <c r="N96" s="6" t="s">
        <v>21</v>
      </c>
      <c r="O96" s="6" t="s">
        <v>20</v>
      </c>
      <c r="P96" s="6" t="s">
        <v>21</v>
      </c>
      <c r="Q96" s="6" t="str">
        <f t="shared" si="4"/>
        <v>BCN Other</v>
      </c>
      <c r="R96" s="21"/>
    </row>
    <row r="97" spans="1:18" s="6" customFormat="1" x14ac:dyDescent="0.2">
      <c r="A97" s="3" t="str">
        <f t="shared" si="3"/>
        <v>BCNR</v>
      </c>
      <c r="B97" s="6" t="s">
        <v>15</v>
      </c>
      <c r="C97" s="6" t="s">
        <v>90</v>
      </c>
      <c r="D97" s="6" t="s">
        <v>1339</v>
      </c>
      <c r="F97" s="6" t="s">
        <v>19</v>
      </c>
      <c r="G97" s="6" t="s">
        <v>1340</v>
      </c>
      <c r="H97" s="6" t="s">
        <v>1340</v>
      </c>
      <c r="I97" s="6" t="s">
        <v>18</v>
      </c>
      <c r="J97" s="6" t="s">
        <v>18</v>
      </c>
      <c r="K97" s="6" t="s">
        <v>18</v>
      </c>
      <c r="L97" s="6" t="s">
        <v>22</v>
      </c>
      <c r="M97" s="6" t="s">
        <v>20</v>
      </c>
      <c r="N97" s="6" t="s">
        <v>21</v>
      </c>
      <c r="O97" s="6" t="s">
        <v>20</v>
      </c>
      <c r="P97" s="6" t="s">
        <v>21</v>
      </c>
      <c r="Q97" s="6" t="str">
        <f t="shared" si="4"/>
        <v>BCN Other</v>
      </c>
      <c r="R97" s="21"/>
    </row>
    <row r="98" spans="1:18" s="6" customFormat="1" x14ac:dyDescent="0.2">
      <c r="A98" s="3" t="str">
        <f t="shared" si="3"/>
        <v>BCB9</v>
      </c>
      <c r="B98" s="6" t="s">
        <v>23</v>
      </c>
      <c r="C98" s="6" t="s">
        <v>40</v>
      </c>
      <c r="D98" s="6" t="s">
        <v>130</v>
      </c>
      <c r="F98" s="6" t="s">
        <v>19</v>
      </c>
      <c r="G98" s="6" t="s">
        <v>131</v>
      </c>
      <c r="H98" s="6" t="s">
        <v>132</v>
      </c>
      <c r="I98" s="6" t="s">
        <v>18</v>
      </c>
      <c r="J98" s="6" t="s">
        <v>18</v>
      </c>
      <c r="K98" s="6" t="s">
        <v>18</v>
      </c>
      <c r="L98" s="6" t="s">
        <v>22</v>
      </c>
      <c r="M98" s="6" t="s">
        <v>20</v>
      </c>
      <c r="N98" s="6" t="s">
        <v>21</v>
      </c>
      <c r="O98" s="6" t="s">
        <v>20</v>
      </c>
      <c r="P98" s="6" t="s">
        <v>21</v>
      </c>
      <c r="Q98" s="6" t="str">
        <f t="shared" si="4"/>
        <v>BCN Other</v>
      </c>
      <c r="R98" s="21" t="s">
        <v>1551</v>
      </c>
    </row>
    <row r="99" spans="1:18" s="6" customFormat="1" x14ac:dyDescent="0.2">
      <c r="A99" s="3" t="str">
        <f t="shared" si="3"/>
        <v>BCNF</v>
      </c>
      <c r="B99" s="6" t="s">
        <v>23</v>
      </c>
      <c r="C99" s="6" t="s">
        <v>83</v>
      </c>
      <c r="D99" s="6" t="s">
        <v>130</v>
      </c>
      <c r="F99" s="6" t="s">
        <v>19</v>
      </c>
      <c r="G99" s="6" t="s">
        <v>131</v>
      </c>
      <c r="H99" s="6" t="s">
        <v>132</v>
      </c>
      <c r="I99" s="6" t="s">
        <v>18</v>
      </c>
      <c r="J99" s="6" t="s">
        <v>18</v>
      </c>
      <c r="K99" s="6" t="s">
        <v>18</v>
      </c>
      <c r="L99" s="6" t="s">
        <v>22</v>
      </c>
      <c r="M99" s="6" t="s">
        <v>20</v>
      </c>
      <c r="N99" s="6" t="s">
        <v>21</v>
      </c>
      <c r="O99" s="6" t="s">
        <v>20</v>
      </c>
      <c r="P99" s="6" t="s">
        <v>21</v>
      </c>
      <c r="Q99" s="6" t="str">
        <f t="shared" si="4"/>
        <v>BCN Other</v>
      </c>
      <c r="R99" s="21" t="s">
        <v>1551</v>
      </c>
    </row>
    <row r="100" spans="1:18" s="6" customFormat="1" x14ac:dyDescent="0.2">
      <c r="A100" s="3" t="str">
        <f t="shared" si="3"/>
        <v>BCOX</v>
      </c>
      <c r="B100" s="6" t="s">
        <v>23</v>
      </c>
      <c r="C100" s="6" t="s">
        <v>101</v>
      </c>
      <c r="D100" s="6" t="s">
        <v>130</v>
      </c>
      <c r="F100" s="6" t="s">
        <v>19</v>
      </c>
      <c r="G100" s="6" t="s">
        <v>131</v>
      </c>
      <c r="H100" s="6" t="s">
        <v>132</v>
      </c>
      <c r="I100" s="6" t="s">
        <v>18</v>
      </c>
      <c r="J100" s="6" t="s">
        <v>18</v>
      </c>
      <c r="K100" s="6" t="s">
        <v>18</v>
      </c>
      <c r="L100" s="6" t="s">
        <v>22</v>
      </c>
      <c r="M100" s="6" t="s">
        <v>20</v>
      </c>
      <c r="N100" s="6" t="s">
        <v>21</v>
      </c>
      <c r="O100" s="6" t="s">
        <v>20</v>
      </c>
      <c r="P100" s="6" t="s">
        <v>21</v>
      </c>
      <c r="Q100" s="6" t="str">
        <f t="shared" si="4"/>
        <v>BCN Other</v>
      </c>
      <c r="R100" s="21" t="s">
        <v>1551</v>
      </c>
    </row>
    <row r="101" spans="1:18" s="6" customFormat="1" x14ac:dyDescent="0.2">
      <c r="A101" s="3" t="str">
        <f t="shared" si="3"/>
        <v>BCC0</v>
      </c>
      <c r="B101" s="6" t="s">
        <v>23</v>
      </c>
      <c r="C101" s="6" t="s">
        <v>53</v>
      </c>
      <c r="D101" s="6" t="s">
        <v>130</v>
      </c>
      <c r="F101" s="6" t="s">
        <v>19</v>
      </c>
      <c r="G101" s="6" t="s">
        <v>131</v>
      </c>
      <c r="H101" s="6" t="s">
        <v>132</v>
      </c>
      <c r="I101" s="6" t="s">
        <v>18</v>
      </c>
      <c r="J101" s="6" t="s">
        <v>18</v>
      </c>
      <c r="K101" s="6" t="s">
        <v>18</v>
      </c>
      <c r="L101" s="6" t="s">
        <v>22</v>
      </c>
      <c r="M101" s="6" t="s">
        <v>20</v>
      </c>
      <c r="N101" s="6" t="s">
        <v>21</v>
      </c>
      <c r="O101" s="6" t="s">
        <v>20</v>
      </c>
      <c r="P101" s="6" t="s">
        <v>21</v>
      </c>
      <c r="Q101" s="6" t="str">
        <f t="shared" si="4"/>
        <v>BCN Other</v>
      </c>
      <c r="R101" s="21" t="s">
        <v>1551</v>
      </c>
    </row>
    <row r="102" spans="1:18" s="6" customFormat="1" x14ac:dyDescent="0.2">
      <c r="A102" s="3" t="str">
        <f t="shared" si="3"/>
        <v>BCXD</v>
      </c>
      <c r="B102" s="6" t="s">
        <v>15</v>
      </c>
      <c r="C102" s="6" t="s">
        <v>129</v>
      </c>
      <c r="D102" s="6" t="s">
        <v>130</v>
      </c>
      <c r="F102" s="6" t="s">
        <v>19</v>
      </c>
      <c r="G102" s="6" t="s">
        <v>131</v>
      </c>
      <c r="H102" s="6" t="s">
        <v>132</v>
      </c>
      <c r="I102" s="6" t="s">
        <v>18</v>
      </c>
      <c r="J102" s="6" t="s">
        <v>18</v>
      </c>
      <c r="K102" s="6" t="s">
        <v>18</v>
      </c>
      <c r="L102" s="6" t="s">
        <v>22</v>
      </c>
      <c r="M102" s="6" t="s">
        <v>20</v>
      </c>
      <c r="N102" s="6" t="s">
        <v>21</v>
      </c>
      <c r="O102" s="6" t="s">
        <v>20</v>
      </c>
      <c r="P102" s="6" t="s">
        <v>21</v>
      </c>
      <c r="Q102" s="6" t="str">
        <f t="shared" si="4"/>
        <v>BCN Other</v>
      </c>
      <c r="R102" s="21" t="s">
        <v>1561</v>
      </c>
    </row>
    <row r="103" spans="1:18" s="6" customFormat="1" x14ac:dyDescent="0.2">
      <c r="A103" s="3" t="str">
        <f t="shared" si="3"/>
        <v>RERT_SUBBV</v>
      </c>
      <c r="B103" s="6" t="s">
        <v>15</v>
      </c>
      <c r="C103" s="6" t="s">
        <v>837</v>
      </c>
      <c r="D103" s="6" t="s">
        <v>838</v>
      </c>
      <c r="E103" s="6" t="s">
        <v>839</v>
      </c>
      <c r="F103" s="6" t="s">
        <v>813</v>
      </c>
      <c r="G103" s="6" t="s">
        <v>840</v>
      </c>
      <c r="H103" s="6" t="s">
        <v>840</v>
      </c>
      <c r="I103" s="6" t="s">
        <v>841</v>
      </c>
      <c r="J103" s="6" t="s">
        <v>842</v>
      </c>
      <c r="K103" s="6" t="s">
        <v>843</v>
      </c>
      <c r="L103" s="6" t="s">
        <v>816</v>
      </c>
      <c r="M103" s="6" t="s">
        <v>817</v>
      </c>
      <c r="N103" s="6" t="s">
        <v>817</v>
      </c>
      <c r="O103" s="6" t="s">
        <v>817</v>
      </c>
      <c r="P103" s="6" t="s">
        <v>817</v>
      </c>
      <c r="Q103" s="6" t="str">
        <f t="shared" si="4"/>
        <v>TA Teams</v>
      </c>
      <c r="R103" s="21"/>
    </row>
    <row r="104" spans="1:18" s="6" customFormat="1" x14ac:dyDescent="0.2">
      <c r="A104" s="3" t="str">
        <f t="shared" si="3"/>
        <v>BCVM</v>
      </c>
      <c r="B104" s="6" t="s">
        <v>15</v>
      </c>
      <c r="C104" s="6" t="s">
        <v>113</v>
      </c>
      <c r="D104" s="6" t="s">
        <v>114</v>
      </c>
      <c r="F104" s="6" t="s">
        <v>19</v>
      </c>
      <c r="G104" s="6" t="s">
        <v>115</v>
      </c>
      <c r="H104" s="6" t="s">
        <v>115</v>
      </c>
      <c r="I104" s="6" t="s">
        <v>18</v>
      </c>
      <c r="J104" s="6" t="s">
        <v>18</v>
      </c>
      <c r="K104" s="6" t="s">
        <v>18</v>
      </c>
      <c r="L104" s="6" t="s">
        <v>22</v>
      </c>
      <c r="M104" s="6" t="s">
        <v>20</v>
      </c>
      <c r="N104" s="6" t="s">
        <v>21</v>
      </c>
      <c r="O104" s="6" t="s">
        <v>20</v>
      </c>
      <c r="P104" s="6" t="s">
        <v>21</v>
      </c>
      <c r="Q104" s="6" t="str">
        <f t="shared" si="4"/>
        <v>BCN Other</v>
      </c>
      <c r="R104" s="21"/>
    </row>
    <row r="105" spans="1:18" s="6" customFormat="1" x14ac:dyDescent="0.2">
      <c r="A105" s="3" t="str">
        <f t="shared" si="3"/>
        <v>BCNS</v>
      </c>
      <c r="B105" s="6" t="s">
        <v>15</v>
      </c>
      <c r="C105" s="6" t="s">
        <v>91</v>
      </c>
      <c r="D105" s="6" t="s">
        <v>92</v>
      </c>
      <c r="F105" s="6" t="s">
        <v>19</v>
      </c>
      <c r="G105" s="6" t="s">
        <v>93</v>
      </c>
      <c r="H105" s="6" t="s">
        <v>93</v>
      </c>
      <c r="I105" s="6" t="s">
        <v>18</v>
      </c>
      <c r="J105" s="6" t="s">
        <v>18</v>
      </c>
      <c r="K105" s="6" t="s">
        <v>18</v>
      </c>
      <c r="L105" s="6" t="s">
        <v>22</v>
      </c>
      <c r="M105" s="6" t="s">
        <v>20</v>
      </c>
      <c r="N105" s="6" t="s">
        <v>21</v>
      </c>
      <c r="O105" s="6" t="s">
        <v>20</v>
      </c>
      <c r="P105" s="6" t="s">
        <v>21</v>
      </c>
      <c r="Q105" s="6" t="str">
        <f t="shared" si="4"/>
        <v>BCN Other</v>
      </c>
      <c r="R105" s="21"/>
    </row>
    <row r="106" spans="1:18" s="6" customFormat="1" ht="25.5" x14ac:dyDescent="0.2">
      <c r="A106" s="3" t="str">
        <f t="shared" si="3"/>
        <v>BCSS</v>
      </c>
      <c r="B106" s="6" t="s">
        <v>15</v>
      </c>
      <c r="C106" s="6" t="s">
        <v>143</v>
      </c>
      <c r="D106" s="6" t="s">
        <v>144</v>
      </c>
      <c r="F106" s="6" t="s">
        <v>19</v>
      </c>
      <c r="G106" s="6" t="s">
        <v>145</v>
      </c>
      <c r="H106" s="6" t="s">
        <v>145</v>
      </c>
      <c r="L106" s="6" t="s">
        <v>22</v>
      </c>
      <c r="M106" s="6" t="s">
        <v>20</v>
      </c>
      <c r="N106" s="6" t="s">
        <v>21</v>
      </c>
      <c r="O106" s="6" t="s">
        <v>20</v>
      </c>
      <c r="P106" s="6" t="s">
        <v>21</v>
      </c>
      <c r="Q106" s="6" t="str">
        <f t="shared" si="4"/>
        <v>BCN Other</v>
      </c>
      <c r="R106" s="21" t="s">
        <v>1515</v>
      </c>
    </row>
    <row r="107" spans="1:18" s="6" customFormat="1" ht="38.25" x14ac:dyDescent="0.2">
      <c r="A107" s="3" t="str">
        <f t="shared" si="3"/>
        <v>BCTT</v>
      </c>
      <c r="B107" s="6" t="s">
        <v>23</v>
      </c>
      <c r="C107" s="6" t="s">
        <v>106</v>
      </c>
      <c r="D107" s="6" t="s">
        <v>1252</v>
      </c>
      <c r="F107" s="6" t="s">
        <v>19</v>
      </c>
      <c r="G107" s="6" t="s">
        <v>108</v>
      </c>
      <c r="H107" s="6" t="s">
        <v>108</v>
      </c>
      <c r="I107" s="6" t="s">
        <v>18</v>
      </c>
      <c r="J107" s="6" t="s">
        <v>18</v>
      </c>
      <c r="K107" s="6" t="s">
        <v>18</v>
      </c>
      <c r="L107" s="6" t="s">
        <v>22</v>
      </c>
      <c r="M107" s="6" t="s">
        <v>20</v>
      </c>
      <c r="N107" s="6" t="s">
        <v>21</v>
      </c>
      <c r="O107" s="6" t="s">
        <v>20</v>
      </c>
      <c r="P107" s="6" t="s">
        <v>21</v>
      </c>
      <c r="Q107" s="6" t="str">
        <f t="shared" si="4"/>
        <v>BCN Other</v>
      </c>
      <c r="R107" s="21" t="s">
        <v>1503</v>
      </c>
    </row>
    <row r="108" spans="1:18" s="6" customFormat="1" x14ac:dyDescent="0.2">
      <c r="A108" s="3" t="str">
        <f t="shared" si="3"/>
        <v>BCWH</v>
      </c>
      <c r="B108" s="6" t="s">
        <v>23</v>
      </c>
      <c r="C108" s="6" t="s">
        <v>120</v>
      </c>
      <c r="D108" s="6" t="s">
        <v>1252</v>
      </c>
      <c r="F108" s="6" t="s">
        <v>19</v>
      </c>
      <c r="G108" s="6" t="s">
        <v>108</v>
      </c>
      <c r="H108" s="6" t="s">
        <v>108</v>
      </c>
      <c r="I108" s="6" t="s">
        <v>18</v>
      </c>
      <c r="J108" s="6" t="s">
        <v>18</v>
      </c>
      <c r="K108" s="6" t="s">
        <v>18</v>
      </c>
      <c r="L108" s="6" t="s">
        <v>22</v>
      </c>
      <c r="M108" s="6" t="s">
        <v>20</v>
      </c>
      <c r="N108" s="6" t="s">
        <v>21</v>
      </c>
      <c r="O108" s="6" t="s">
        <v>20</v>
      </c>
      <c r="P108" s="6" t="s">
        <v>21</v>
      </c>
      <c r="Q108" s="6" t="str">
        <f t="shared" si="4"/>
        <v>BCN Other</v>
      </c>
      <c r="R108" s="21" t="s">
        <v>1502</v>
      </c>
    </row>
    <row r="109" spans="1:18" s="6" customFormat="1" x14ac:dyDescent="0.2">
      <c r="A109" s="3" t="str">
        <f t="shared" si="3"/>
        <v>BCWI</v>
      </c>
      <c r="B109" s="6" t="s">
        <v>23</v>
      </c>
      <c r="C109" s="6" t="s">
        <v>121</v>
      </c>
      <c r="D109" s="6" t="s">
        <v>1252</v>
      </c>
      <c r="F109" s="6" t="s">
        <v>19</v>
      </c>
      <c r="G109" s="6" t="s">
        <v>108</v>
      </c>
      <c r="H109" s="6" t="s">
        <v>108</v>
      </c>
      <c r="I109" s="6" t="s">
        <v>18</v>
      </c>
      <c r="J109" s="6" t="s">
        <v>18</v>
      </c>
      <c r="K109" s="6" t="s">
        <v>18</v>
      </c>
      <c r="L109" s="6" t="s">
        <v>22</v>
      </c>
      <c r="M109" s="6" t="s">
        <v>20</v>
      </c>
      <c r="N109" s="6" t="s">
        <v>21</v>
      </c>
      <c r="O109" s="6" t="s">
        <v>20</v>
      </c>
      <c r="P109" s="6" t="s">
        <v>21</v>
      </c>
      <c r="Q109" s="6" t="str">
        <f t="shared" si="4"/>
        <v>BCN Other</v>
      </c>
      <c r="R109" s="21" t="s">
        <v>1502</v>
      </c>
    </row>
    <row r="110" spans="1:18" s="6" customFormat="1" x14ac:dyDescent="0.2">
      <c r="A110" s="3" t="str">
        <f t="shared" si="3"/>
        <v>BCGF</v>
      </c>
      <c r="B110" s="6" t="s">
        <v>15</v>
      </c>
      <c r="C110" s="6" t="s">
        <v>1251</v>
      </c>
      <c r="D110" s="6" t="s">
        <v>1252</v>
      </c>
      <c r="F110" s="6" t="s">
        <v>19</v>
      </c>
      <c r="G110" s="6" t="s">
        <v>108</v>
      </c>
      <c r="H110" s="6" t="s">
        <v>108</v>
      </c>
      <c r="L110" s="6" t="s">
        <v>22</v>
      </c>
      <c r="M110" s="6" t="s">
        <v>20</v>
      </c>
      <c r="N110" s="6" t="s">
        <v>21</v>
      </c>
      <c r="O110" s="6" t="s">
        <v>20</v>
      </c>
      <c r="P110" s="6" t="s">
        <v>21</v>
      </c>
      <c r="Q110" s="6" t="str">
        <f t="shared" si="4"/>
        <v>BCN Other</v>
      </c>
      <c r="R110" s="21" t="s">
        <v>1562</v>
      </c>
    </row>
    <row r="111" spans="1:18" s="6" customFormat="1" x14ac:dyDescent="0.2">
      <c r="A111" s="3" t="str">
        <f t="shared" si="3"/>
        <v>BCNV</v>
      </c>
      <c r="B111" s="6" t="s">
        <v>15</v>
      </c>
      <c r="C111" s="6" t="s">
        <v>97</v>
      </c>
      <c r="D111" s="6" t="s">
        <v>98</v>
      </c>
      <c r="F111" s="6" t="s">
        <v>19</v>
      </c>
      <c r="G111" s="6" t="s">
        <v>99</v>
      </c>
      <c r="H111" s="6" t="s">
        <v>100</v>
      </c>
      <c r="I111" s="6" t="s">
        <v>18</v>
      </c>
      <c r="J111" s="6" t="s">
        <v>18</v>
      </c>
      <c r="K111" s="6" t="s">
        <v>18</v>
      </c>
      <c r="L111" s="6" t="s">
        <v>22</v>
      </c>
      <c r="M111" s="6" t="s">
        <v>20</v>
      </c>
      <c r="N111" s="6" t="s">
        <v>21</v>
      </c>
      <c r="O111" s="6" t="s">
        <v>20</v>
      </c>
      <c r="P111" s="6" t="s">
        <v>21</v>
      </c>
      <c r="Q111" s="6" t="str">
        <f t="shared" si="4"/>
        <v>BCN Other</v>
      </c>
      <c r="R111" s="21"/>
    </row>
    <row r="112" spans="1:18" s="6" customFormat="1" x14ac:dyDescent="0.2">
      <c r="A112" s="3" t="str">
        <f t="shared" si="3"/>
        <v>F10BA_SUBWF</v>
      </c>
      <c r="B112" s="6" t="s">
        <v>15</v>
      </c>
      <c r="C112" s="6" t="s">
        <v>227</v>
      </c>
      <c r="D112" s="6" t="s">
        <v>228</v>
      </c>
      <c r="E112" s="6" t="s">
        <v>214</v>
      </c>
      <c r="F112" s="6" t="s">
        <v>189</v>
      </c>
      <c r="G112" s="6" t="s">
        <v>229</v>
      </c>
      <c r="H112" s="6" t="s">
        <v>229</v>
      </c>
      <c r="I112" s="6" t="s">
        <v>216</v>
      </c>
      <c r="J112" s="6" t="s">
        <v>217</v>
      </c>
      <c r="K112" s="6" t="s">
        <v>217</v>
      </c>
      <c r="L112" s="6" t="s">
        <v>191</v>
      </c>
      <c r="M112" s="6" t="s">
        <v>192</v>
      </c>
      <c r="N112" s="6" t="s">
        <v>192</v>
      </c>
      <c r="O112" s="6" t="s">
        <v>192</v>
      </c>
      <c r="P112" s="6" t="s">
        <v>192</v>
      </c>
      <c r="Q112" s="6" t="str">
        <f t="shared" si="4"/>
        <v>Brand Studio</v>
      </c>
      <c r="R112" s="21" t="s">
        <v>1622</v>
      </c>
    </row>
    <row r="113" spans="1:18" s="6" customFormat="1" x14ac:dyDescent="0.2">
      <c r="A113" s="3" t="str">
        <f t="shared" si="3"/>
        <v>F10BA_SUBDS</v>
      </c>
      <c r="B113" s="6" t="s">
        <v>23</v>
      </c>
      <c r="C113" s="6" t="s">
        <v>221</v>
      </c>
      <c r="D113" s="6" t="s">
        <v>228</v>
      </c>
      <c r="E113" s="6" t="s">
        <v>214</v>
      </c>
      <c r="F113" s="6" t="s">
        <v>189</v>
      </c>
      <c r="G113" s="6" t="s">
        <v>229</v>
      </c>
      <c r="H113" s="6" t="s">
        <v>229</v>
      </c>
      <c r="I113" s="6" t="s">
        <v>216</v>
      </c>
      <c r="J113" s="6" t="s">
        <v>217</v>
      </c>
      <c r="K113" s="6" t="s">
        <v>217</v>
      </c>
      <c r="L113" s="6" t="s">
        <v>191</v>
      </c>
      <c r="M113" s="6" t="s">
        <v>192</v>
      </c>
      <c r="N113" s="6" t="s">
        <v>192</v>
      </c>
      <c r="O113" s="6" t="s">
        <v>192</v>
      </c>
      <c r="P113" s="6" t="s">
        <v>192</v>
      </c>
      <c r="Q113" s="6" t="str">
        <f t="shared" si="4"/>
        <v>Brand Studio</v>
      </c>
      <c r="R113" s="21" t="s">
        <v>1563</v>
      </c>
    </row>
    <row r="114" spans="1:18" s="6" customFormat="1" x14ac:dyDescent="0.2">
      <c r="A114" s="3" t="str">
        <f t="shared" si="3"/>
        <v>F10BA_SUBWG</v>
      </c>
      <c r="B114" s="6" t="s">
        <v>15</v>
      </c>
      <c r="C114" s="6" t="s">
        <v>230</v>
      </c>
      <c r="D114" s="6" t="s">
        <v>231</v>
      </c>
      <c r="E114" s="6" t="s">
        <v>214</v>
      </c>
      <c r="F114" s="6" t="s">
        <v>189</v>
      </c>
      <c r="G114" s="6" t="s">
        <v>232</v>
      </c>
      <c r="H114" s="6" t="s">
        <v>233</v>
      </c>
      <c r="I114" s="6" t="s">
        <v>216</v>
      </c>
      <c r="J114" s="6" t="s">
        <v>217</v>
      </c>
      <c r="K114" s="6" t="s">
        <v>217</v>
      </c>
      <c r="L114" s="6" t="s">
        <v>191</v>
      </c>
      <c r="M114" s="6" t="s">
        <v>192</v>
      </c>
      <c r="N114" s="6" t="s">
        <v>192</v>
      </c>
      <c r="O114" s="6" t="s">
        <v>192</v>
      </c>
      <c r="P114" s="6" t="s">
        <v>192</v>
      </c>
      <c r="Q114" s="6" t="str">
        <f t="shared" si="4"/>
        <v>Brand Studio</v>
      </c>
      <c r="R114" s="21"/>
    </row>
    <row r="115" spans="1:18" s="6" customFormat="1" x14ac:dyDescent="0.2">
      <c r="A115" s="3" t="str">
        <f t="shared" si="3"/>
        <v>F10BA_SUBHE</v>
      </c>
      <c r="B115" s="6" t="s">
        <v>15</v>
      </c>
      <c r="C115" s="6" t="s">
        <v>1377</v>
      </c>
      <c r="D115" s="6" t="s">
        <v>1382</v>
      </c>
      <c r="E115" s="6" t="s">
        <v>214</v>
      </c>
      <c r="F115" s="6" t="s">
        <v>189</v>
      </c>
      <c r="G115" s="6" t="s">
        <v>1400</v>
      </c>
      <c r="H115" s="6" t="s">
        <v>1400</v>
      </c>
      <c r="I115" s="6" t="s">
        <v>216</v>
      </c>
      <c r="J115" s="6" t="s">
        <v>217</v>
      </c>
      <c r="K115" s="6" t="s">
        <v>217</v>
      </c>
      <c r="L115" s="6" t="s">
        <v>191</v>
      </c>
      <c r="M115" s="6" t="s">
        <v>192</v>
      </c>
      <c r="N115" s="6" t="s">
        <v>192</v>
      </c>
      <c r="O115" s="6" t="s">
        <v>192</v>
      </c>
      <c r="P115" s="6" t="s">
        <v>192</v>
      </c>
      <c r="Q115" s="6" t="str">
        <f t="shared" si="4"/>
        <v>Brand Studio</v>
      </c>
      <c r="R115" s="21"/>
    </row>
    <row r="116" spans="1:18" s="6" customFormat="1" x14ac:dyDescent="0.2">
      <c r="A116" s="3" t="str">
        <f t="shared" si="3"/>
        <v>WUSC</v>
      </c>
      <c r="B116" s="6" t="s">
        <v>15</v>
      </c>
      <c r="C116" s="6" t="s">
        <v>1172</v>
      </c>
      <c r="D116" s="6" t="s">
        <v>1173</v>
      </c>
      <c r="F116" s="6" t="s">
        <v>1156</v>
      </c>
      <c r="G116" s="6" t="s">
        <v>1174</v>
      </c>
      <c r="H116" s="6" t="s">
        <v>1175</v>
      </c>
      <c r="I116" s="6" t="s">
        <v>18</v>
      </c>
      <c r="J116" s="6" t="s">
        <v>18</v>
      </c>
      <c r="K116" s="6" t="s">
        <v>18</v>
      </c>
      <c r="L116" s="6" t="s">
        <v>1158</v>
      </c>
      <c r="M116" s="6" t="s">
        <v>1159</v>
      </c>
      <c r="N116" s="6" t="s">
        <v>1160</v>
      </c>
      <c r="O116" s="6" t="s">
        <v>1159</v>
      </c>
      <c r="P116" s="6" t="s">
        <v>1160</v>
      </c>
      <c r="Q116" s="6" t="str">
        <f t="shared" si="4"/>
        <v>Capability Delivery Other</v>
      </c>
      <c r="R116" s="21"/>
    </row>
    <row r="117" spans="1:18" s="6" customFormat="1" x14ac:dyDescent="0.2">
      <c r="A117" s="3" t="str">
        <f t="shared" si="3"/>
        <v>THGR_SUBCE</v>
      </c>
      <c r="B117" s="6" t="s">
        <v>23</v>
      </c>
      <c r="C117" s="6" t="s">
        <v>919</v>
      </c>
      <c r="D117" s="6" t="s">
        <v>920</v>
      </c>
      <c r="E117" s="6" t="s">
        <v>921</v>
      </c>
      <c r="F117" s="6" t="s">
        <v>884</v>
      </c>
      <c r="G117" s="6" t="s">
        <v>922</v>
      </c>
      <c r="H117" s="6" t="s">
        <v>922</v>
      </c>
      <c r="I117" s="6" t="s">
        <v>923</v>
      </c>
      <c r="J117" s="6" t="s">
        <v>924</v>
      </c>
      <c r="K117" s="6" t="s">
        <v>925</v>
      </c>
      <c r="L117" s="6" t="s">
        <v>887</v>
      </c>
      <c r="M117" s="6" t="s">
        <v>888</v>
      </c>
      <c r="N117" s="6" t="s">
        <v>889</v>
      </c>
      <c r="O117" s="6" t="s">
        <v>888</v>
      </c>
      <c r="P117" s="6" t="s">
        <v>889</v>
      </c>
      <c r="Q117" s="6" t="str">
        <f t="shared" si="4"/>
        <v>HR &amp; Talent Mgmt.</v>
      </c>
      <c r="R117" s="21"/>
    </row>
    <row r="118" spans="1:18" s="6" customFormat="1" x14ac:dyDescent="0.2">
      <c r="A118" s="3" t="str">
        <f t="shared" si="3"/>
        <v>F7GS_SUBAJ</v>
      </c>
      <c r="B118" s="6" t="s">
        <v>15</v>
      </c>
      <c r="C118" s="6" t="s">
        <v>725</v>
      </c>
      <c r="D118" s="6" t="s">
        <v>726</v>
      </c>
      <c r="E118" s="6" t="s">
        <v>727</v>
      </c>
      <c r="F118" s="6" t="s">
        <v>720</v>
      </c>
      <c r="G118" s="6" t="s">
        <v>728</v>
      </c>
      <c r="H118" s="6" t="s">
        <v>728</v>
      </c>
      <c r="I118" s="6" t="s">
        <v>729</v>
      </c>
      <c r="J118" s="6" t="s">
        <v>730</v>
      </c>
      <c r="K118" s="6" t="s">
        <v>730</v>
      </c>
      <c r="L118" s="6" t="s">
        <v>723</v>
      </c>
      <c r="M118" s="6" t="s">
        <v>724</v>
      </c>
      <c r="N118" s="6" t="s">
        <v>724</v>
      </c>
      <c r="O118" s="6" t="s">
        <v>724</v>
      </c>
      <c r="P118" s="6" t="s">
        <v>724</v>
      </c>
      <c r="Q118" s="6" t="str">
        <f t="shared" si="4"/>
        <v>Global Legal Services</v>
      </c>
      <c r="R118" s="21"/>
    </row>
    <row r="119" spans="1:18" s="6" customFormat="1" x14ac:dyDescent="0.2">
      <c r="A119" s="3" t="str">
        <f t="shared" si="3"/>
        <v>THGL_SUBCB</v>
      </c>
      <c r="B119" s="6" t="s">
        <v>23</v>
      </c>
      <c r="C119" s="6" t="s">
        <v>911</v>
      </c>
      <c r="D119" s="6" t="s">
        <v>912</v>
      </c>
      <c r="E119" s="6" t="s">
        <v>913</v>
      </c>
      <c r="F119" s="6" t="s">
        <v>884</v>
      </c>
      <c r="G119" s="6" t="s">
        <v>914</v>
      </c>
      <c r="H119" s="6" t="s">
        <v>914</v>
      </c>
      <c r="I119" s="6" t="s">
        <v>915</v>
      </c>
      <c r="J119" s="6" t="s">
        <v>916</v>
      </c>
      <c r="K119" s="6" t="s">
        <v>916</v>
      </c>
      <c r="L119" s="6" t="s">
        <v>887</v>
      </c>
      <c r="M119" s="6" t="s">
        <v>888</v>
      </c>
      <c r="N119" s="6" t="s">
        <v>889</v>
      </c>
      <c r="O119" s="6" t="s">
        <v>888</v>
      </c>
      <c r="P119" s="6" t="s">
        <v>889</v>
      </c>
      <c r="Q119" s="6" t="str">
        <f t="shared" si="4"/>
        <v>Global Training</v>
      </c>
      <c r="R119" s="21"/>
    </row>
    <row r="120" spans="1:18" s="6" customFormat="1" x14ac:dyDescent="0.2">
      <c r="A120" s="3" t="str">
        <f t="shared" si="3"/>
        <v>F2EC_SUBL8</v>
      </c>
      <c r="B120" s="6" t="s">
        <v>15</v>
      </c>
      <c r="C120" s="6" t="s">
        <v>527</v>
      </c>
      <c r="D120" s="6" t="s">
        <v>528</v>
      </c>
      <c r="E120" s="6" t="s">
        <v>504</v>
      </c>
      <c r="F120" s="6" t="s">
        <v>505</v>
      </c>
      <c r="G120" s="6" t="s">
        <v>1410</v>
      </c>
      <c r="H120" s="6" t="s">
        <v>529</v>
      </c>
      <c r="I120" s="6" t="s">
        <v>507</v>
      </c>
      <c r="J120" s="6" t="s">
        <v>508</v>
      </c>
      <c r="K120" s="6" t="s">
        <v>509</v>
      </c>
      <c r="L120" s="6" t="s">
        <v>492</v>
      </c>
      <c r="M120" s="6" t="s">
        <v>493</v>
      </c>
      <c r="N120" s="6" t="s">
        <v>493</v>
      </c>
      <c r="O120" s="6" t="s">
        <v>510</v>
      </c>
      <c r="P120" s="6" t="s">
        <v>511</v>
      </c>
      <c r="Q120" s="6" t="str">
        <f t="shared" si="4"/>
        <v>Expert Cons.</v>
      </c>
      <c r="R120" s="21"/>
    </row>
    <row r="121" spans="1:18" s="6" customFormat="1" x14ac:dyDescent="0.2">
      <c r="A121" s="3" t="str">
        <f t="shared" si="3"/>
        <v>RERT_SUBGC</v>
      </c>
      <c r="B121" s="6" t="s">
        <v>15</v>
      </c>
      <c r="C121" s="6" t="s">
        <v>848</v>
      </c>
      <c r="D121" s="6" t="s">
        <v>849</v>
      </c>
      <c r="E121" s="6" t="s">
        <v>839</v>
      </c>
      <c r="F121" s="6" t="s">
        <v>813</v>
      </c>
      <c r="G121" s="6" t="s">
        <v>850</v>
      </c>
      <c r="H121" s="6" t="s">
        <v>851</v>
      </c>
      <c r="I121" s="6" t="s">
        <v>841</v>
      </c>
      <c r="J121" s="6" t="s">
        <v>842</v>
      </c>
      <c r="K121" s="6" t="s">
        <v>843</v>
      </c>
      <c r="L121" s="6" t="s">
        <v>816</v>
      </c>
      <c r="M121" s="6" t="s">
        <v>817</v>
      </c>
      <c r="N121" s="6" t="s">
        <v>817</v>
      </c>
      <c r="O121" s="6" t="s">
        <v>817</v>
      </c>
      <c r="P121" s="6" t="s">
        <v>817</v>
      </c>
      <c r="Q121" s="6" t="str">
        <f t="shared" si="4"/>
        <v>TA Teams</v>
      </c>
      <c r="R121" s="21"/>
    </row>
    <row r="122" spans="1:18" s="6" customFormat="1" x14ac:dyDescent="0.2">
      <c r="A122" s="3" t="str">
        <f t="shared" si="3"/>
        <v>F2NEW_GC_SUB40</v>
      </c>
      <c r="B122" s="3" t="s">
        <v>15</v>
      </c>
      <c r="C122" s="3" t="s">
        <v>563</v>
      </c>
      <c r="D122" s="3" t="s">
        <v>564</v>
      </c>
      <c r="E122" s="3" t="s">
        <v>175</v>
      </c>
      <c r="F122" s="3" t="s">
        <v>176</v>
      </c>
      <c r="G122" s="3" t="s">
        <v>180</v>
      </c>
      <c r="H122" s="3" t="s">
        <v>180</v>
      </c>
      <c r="I122" s="3" t="s">
        <v>178</v>
      </c>
      <c r="J122" s="3" t="s">
        <v>179</v>
      </c>
      <c r="K122" s="3" t="s">
        <v>180</v>
      </c>
      <c r="L122" s="3" t="s">
        <v>492</v>
      </c>
      <c r="M122" s="3" t="s">
        <v>493</v>
      </c>
      <c r="N122" s="3" t="s">
        <v>493</v>
      </c>
      <c r="O122" s="3" t="s">
        <v>183</v>
      </c>
      <c r="P122" s="3" t="s">
        <v>180</v>
      </c>
      <c r="Q122" s="6" t="str">
        <f t="shared" si="4"/>
        <v>Gen. Cons.</v>
      </c>
      <c r="R122" s="21"/>
    </row>
    <row r="123" spans="1:18" s="6" customFormat="1" x14ac:dyDescent="0.2">
      <c r="A123" s="3" t="str">
        <f t="shared" si="3"/>
        <v>F4LO_SUBAS</v>
      </c>
      <c r="B123" s="6" t="s">
        <v>15</v>
      </c>
      <c r="C123" s="6" t="s">
        <v>704</v>
      </c>
      <c r="D123" s="6" t="s">
        <v>705</v>
      </c>
      <c r="E123" s="6" t="s">
        <v>706</v>
      </c>
      <c r="F123" s="6" t="s">
        <v>680</v>
      </c>
      <c r="G123" s="6" t="s">
        <v>707</v>
      </c>
      <c r="H123" s="6" t="s">
        <v>708</v>
      </c>
      <c r="I123" s="6" t="s">
        <v>709</v>
      </c>
      <c r="J123" s="6" t="s">
        <v>710</v>
      </c>
      <c r="K123" s="6" t="s">
        <v>711</v>
      </c>
      <c r="L123" s="6" t="s">
        <v>686</v>
      </c>
      <c r="M123" s="6" t="s">
        <v>687</v>
      </c>
      <c r="N123" s="6" t="s">
        <v>688</v>
      </c>
      <c r="O123" s="6" t="s">
        <v>687</v>
      </c>
      <c r="P123" s="6" t="s">
        <v>688</v>
      </c>
      <c r="Q123" s="6" t="str">
        <f t="shared" si="4"/>
        <v>Local Ops</v>
      </c>
      <c r="R123" s="21"/>
    </row>
    <row r="124" spans="1:18" s="6" customFormat="1" ht="25.5" x14ac:dyDescent="0.2">
      <c r="A124" s="3" t="str">
        <f t="shared" si="3"/>
        <v>F15SP_SUBP7</v>
      </c>
      <c r="B124" s="6" t="s">
        <v>15</v>
      </c>
      <c r="C124" s="6" t="s">
        <v>413</v>
      </c>
      <c r="D124" s="6" t="s">
        <v>414</v>
      </c>
      <c r="E124" s="6" t="s">
        <v>337</v>
      </c>
      <c r="F124" s="6" t="s">
        <v>314</v>
      </c>
      <c r="G124" s="6" t="s">
        <v>415</v>
      </c>
      <c r="H124" s="6" t="s">
        <v>416</v>
      </c>
      <c r="I124" s="6" t="s">
        <v>338</v>
      </c>
      <c r="J124" s="6" t="s">
        <v>339</v>
      </c>
      <c r="K124" s="6" t="s">
        <v>339</v>
      </c>
      <c r="L124" s="6" t="s">
        <v>317</v>
      </c>
      <c r="M124" s="6" t="s">
        <v>318</v>
      </c>
      <c r="N124" s="6" t="s">
        <v>319</v>
      </c>
      <c r="O124" s="6" t="s">
        <v>318</v>
      </c>
      <c r="P124" s="6" t="s">
        <v>319</v>
      </c>
      <c r="Q124" s="6" t="str">
        <f t="shared" si="4"/>
        <v>Practice Teams</v>
      </c>
      <c r="R124" s="21" t="s">
        <v>1516</v>
      </c>
    </row>
    <row r="125" spans="1:18" s="6" customFormat="1" x14ac:dyDescent="0.2">
      <c r="A125" s="3" t="str">
        <f t="shared" si="3"/>
        <v>F2EC_SUBL9</v>
      </c>
      <c r="B125" s="6" t="s">
        <v>15</v>
      </c>
      <c r="C125" s="6" t="s">
        <v>530</v>
      </c>
      <c r="D125" s="6" t="s">
        <v>531</v>
      </c>
      <c r="E125" s="6" t="s">
        <v>504</v>
      </c>
      <c r="F125" s="6" t="s">
        <v>505</v>
      </c>
      <c r="G125" s="6" t="s">
        <v>1390</v>
      </c>
      <c r="H125" s="6" t="s">
        <v>532</v>
      </c>
      <c r="I125" s="6" t="s">
        <v>507</v>
      </c>
      <c r="J125" s="6" t="s">
        <v>508</v>
      </c>
      <c r="K125" s="6" t="s">
        <v>509</v>
      </c>
      <c r="L125" s="6" t="s">
        <v>492</v>
      </c>
      <c r="M125" s="6" t="s">
        <v>493</v>
      </c>
      <c r="N125" s="6" t="s">
        <v>493</v>
      </c>
      <c r="O125" s="6" t="s">
        <v>510</v>
      </c>
      <c r="P125" s="6" t="s">
        <v>511</v>
      </c>
      <c r="Q125" s="6" t="str">
        <f t="shared" si="4"/>
        <v>Expert Cons.</v>
      </c>
      <c r="R125" s="21"/>
    </row>
    <row r="126" spans="1:18" s="6" customFormat="1" x14ac:dyDescent="0.2">
      <c r="A126" s="3" t="str">
        <f t="shared" si="3"/>
        <v>F15SP_SUBE4</v>
      </c>
      <c r="B126" s="6" t="s">
        <v>15</v>
      </c>
      <c r="C126" s="6" t="s">
        <v>379</v>
      </c>
      <c r="D126" s="6" t="s">
        <v>380</v>
      </c>
      <c r="E126" s="6" t="s">
        <v>337</v>
      </c>
      <c r="F126" s="6" t="s">
        <v>314</v>
      </c>
      <c r="G126" s="6" t="s">
        <v>381</v>
      </c>
      <c r="H126" s="6" t="s">
        <v>382</v>
      </c>
      <c r="I126" s="6" t="s">
        <v>338</v>
      </c>
      <c r="J126" s="6" t="s">
        <v>339</v>
      </c>
      <c r="K126" s="6" t="s">
        <v>339</v>
      </c>
      <c r="L126" s="6" t="s">
        <v>317</v>
      </c>
      <c r="M126" s="6" t="s">
        <v>318</v>
      </c>
      <c r="N126" s="6" t="s">
        <v>319</v>
      </c>
      <c r="O126" s="6" t="s">
        <v>318</v>
      </c>
      <c r="P126" s="6" t="s">
        <v>319</v>
      </c>
      <c r="Q126" s="6" t="str">
        <f t="shared" si="4"/>
        <v>Practice Teams</v>
      </c>
      <c r="R126" s="21"/>
    </row>
    <row r="127" spans="1:18" s="6" customFormat="1" x14ac:dyDescent="0.2">
      <c r="A127" s="3" t="str">
        <f t="shared" si="3"/>
        <v>F15SP_SUBIG</v>
      </c>
      <c r="B127" s="6" t="s">
        <v>15</v>
      </c>
      <c r="C127" s="6" t="s">
        <v>391</v>
      </c>
      <c r="D127" s="6" t="s">
        <v>392</v>
      </c>
      <c r="E127" s="6" t="s">
        <v>337</v>
      </c>
      <c r="F127" s="6" t="s">
        <v>314</v>
      </c>
      <c r="G127" s="6" t="s">
        <v>393</v>
      </c>
      <c r="H127" s="6" t="s">
        <v>393</v>
      </c>
      <c r="I127" s="6" t="s">
        <v>338</v>
      </c>
      <c r="J127" s="6" t="s">
        <v>339</v>
      </c>
      <c r="K127" s="6" t="s">
        <v>339</v>
      </c>
      <c r="L127" s="6" t="s">
        <v>317</v>
      </c>
      <c r="M127" s="6" t="s">
        <v>318</v>
      </c>
      <c r="N127" s="6" t="s">
        <v>319</v>
      </c>
      <c r="O127" s="6" t="s">
        <v>318</v>
      </c>
      <c r="P127" s="6" t="s">
        <v>319</v>
      </c>
      <c r="Q127" s="6" t="str">
        <f t="shared" si="4"/>
        <v>Practice Teams</v>
      </c>
      <c r="R127" s="21"/>
    </row>
    <row r="128" spans="1:18" s="6" customFormat="1" x14ac:dyDescent="0.2">
      <c r="A128" s="3" t="str">
        <f t="shared" si="3"/>
        <v>WURO</v>
      </c>
      <c r="B128" s="6" t="s">
        <v>15</v>
      </c>
      <c r="C128" s="6" t="s">
        <v>1169</v>
      </c>
      <c r="D128" s="6" t="s">
        <v>1170</v>
      </c>
      <c r="F128" s="6" t="s">
        <v>1156</v>
      </c>
      <c r="G128" s="6" t="s">
        <v>1171</v>
      </c>
      <c r="H128" s="6" t="s">
        <v>1171</v>
      </c>
      <c r="I128" s="6" t="s">
        <v>18</v>
      </c>
      <c r="J128" s="6" t="s">
        <v>18</v>
      </c>
      <c r="K128" s="6" t="s">
        <v>18</v>
      </c>
      <c r="L128" s="6" t="s">
        <v>1158</v>
      </c>
      <c r="M128" s="6" t="s">
        <v>1159</v>
      </c>
      <c r="N128" s="6" t="s">
        <v>1160</v>
      </c>
      <c r="O128" s="6" t="s">
        <v>1159</v>
      </c>
      <c r="P128" s="6" t="s">
        <v>1160</v>
      </c>
      <c r="Q128" s="6" t="str">
        <f t="shared" si="4"/>
        <v>Capability Delivery Other</v>
      </c>
      <c r="R128" s="21"/>
    </row>
    <row r="129" spans="1:18" s="6" customFormat="1" x14ac:dyDescent="0.2">
      <c r="A129" s="3" t="str">
        <f t="shared" si="3"/>
        <v>THME_SUBDM</v>
      </c>
      <c r="B129" s="6" t="s">
        <v>23</v>
      </c>
      <c r="C129" s="6" t="s">
        <v>974</v>
      </c>
      <c r="D129" s="30" t="s">
        <v>1752</v>
      </c>
      <c r="E129" s="6" t="s">
        <v>1585</v>
      </c>
      <c r="F129" s="6" t="s">
        <v>884</v>
      </c>
      <c r="G129" s="6" t="s">
        <v>1755</v>
      </c>
      <c r="H129" s="6" t="s">
        <v>1755</v>
      </c>
      <c r="I129" s="20" t="s">
        <v>1588</v>
      </c>
      <c r="J129" s="6" t="s">
        <v>1589</v>
      </c>
      <c r="K129" s="6" t="s">
        <v>1590</v>
      </c>
      <c r="L129" s="6" t="s">
        <v>887</v>
      </c>
      <c r="M129" s="6" t="s">
        <v>888</v>
      </c>
      <c r="N129" s="6" t="s">
        <v>889</v>
      </c>
      <c r="O129" s="6" t="s">
        <v>888</v>
      </c>
      <c r="P129" s="6" t="s">
        <v>889</v>
      </c>
      <c r="Q129" s="6" t="str">
        <f t="shared" si="4"/>
        <v>Strategy &amp; Experience</v>
      </c>
      <c r="R129" s="21" t="s">
        <v>1743</v>
      </c>
    </row>
    <row r="130" spans="1:18" s="6" customFormat="1" ht="25.5" x14ac:dyDescent="0.2">
      <c r="A130" s="3" t="str">
        <f t="shared" ref="A130:A193" si="5">_xlfn.CONCAT(L130,I130,C130)</f>
        <v>F3GF_SUBDG</v>
      </c>
      <c r="B130" s="6" t="s">
        <v>15</v>
      </c>
      <c r="C130" s="6" t="s">
        <v>609</v>
      </c>
      <c r="D130" s="20" t="s">
        <v>1768</v>
      </c>
      <c r="E130" s="6" t="s">
        <v>597</v>
      </c>
      <c r="F130" s="6" t="s">
        <v>573</v>
      </c>
      <c r="G130" s="6" t="s">
        <v>1493</v>
      </c>
      <c r="H130" s="6" t="s">
        <v>1492</v>
      </c>
      <c r="I130" s="6" t="s">
        <v>600</v>
      </c>
      <c r="J130" s="6" t="s">
        <v>601</v>
      </c>
      <c r="K130" s="6" t="s">
        <v>601</v>
      </c>
      <c r="L130" s="6" t="s">
        <v>575</v>
      </c>
      <c r="M130" s="6" t="s">
        <v>576</v>
      </c>
      <c r="N130" s="6" t="s">
        <v>576</v>
      </c>
      <c r="O130" s="6" t="s">
        <v>576</v>
      </c>
      <c r="P130" s="6" t="s">
        <v>576</v>
      </c>
      <c r="Q130" s="6" t="str">
        <f t="shared" si="4"/>
        <v>Global Finance</v>
      </c>
      <c r="R130" s="21" t="s">
        <v>1494</v>
      </c>
    </row>
    <row r="131" spans="1:18" s="6" customFormat="1" ht="25.5" x14ac:dyDescent="0.2">
      <c r="A131" s="3" t="str">
        <f t="shared" si="5"/>
        <v>F4CS_SUBXX_CS</v>
      </c>
      <c r="B131" s="6" t="s">
        <v>23</v>
      </c>
      <c r="C131" s="6" t="s">
        <v>249</v>
      </c>
      <c r="D131" s="6" t="s">
        <v>250</v>
      </c>
      <c r="E131" s="6" t="s">
        <v>236</v>
      </c>
      <c r="F131" s="6" t="s">
        <v>680</v>
      </c>
      <c r="G131" s="6" t="s">
        <v>250</v>
      </c>
      <c r="H131" s="6" t="s">
        <v>250</v>
      </c>
      <c r="I131" s="6" t="s">
        <v>238</v>
      </c>
      <c r="J131" s="6" t="s">
        <v>239</v>
      </c>
      <c r="K131" s="6" t="s">
        <v>239</v>
      </c>
      <c r="L131" s="6" t="s">
        <v>686</v>
      </c>
      <c r="M131" s="6" t="s">
        <v>687</v>
      </c>
      <c r="N131" s="6" t="s">
        <v>688</v>
      </c>
      <c r="O131" s="6" t="s">
        <v>687</v>
      </c>
      <c r="P131" s="6" t="s">
        <v>688</v>
      </c>
      <c r="Q131" s="6" t="str">
        <f t="shared" ref="Q131:Q194" si="6">IF(J131&lt;&gt;"",J131,_xlfn.CONCAT(O131," Other"))</f>
        <v>Creative Services</v>
      </c>
      <c r="R131" s="21" t="s">
        <v>1517</v>
      </c>
    </row>
    <row r="132" spans="1:18" s="6" customFormat="1" x14ac:dyDescent="0.2">
      <c r="A132" s="3" t="str">
        <f t="shared" si="5"/>
        <v>F15GC_SUBCU</v>
      </c>
      <c r="B132" s="6" t="s">
        <v>15</v>
      </c>
      <c r="C132" s="6" t="s">
        <v>771</v>
      </c>
      <c r="D132" s="6" t="s">
        <v>772</v>
      </c>
      <c r="E132" s="6" t="s">
        <v>773</v>
      </c>
      <c r="F132" s="6" t="s">
        <v>314</v>
      </c>
      <c r="G132" s="6" t="s">
        <v>774</v>
      </c>
      <c r="H132" s="6" t="s">
        <v>774</v>
      </c>
      <c r="I132" s="6" t="s">
        <v>775</v>
      </c>
      <c r="J132" s="6" t="s">
        <v>776</v>
      </c>
      <c r="K132" s="6" t="s">
        <v>777</v>
      </c>
      <c r="L132" s="6" t="s">
        <v>317</v>
      </c>
      <c r="M132" s="6" t="s">
        <v>318</v>
      </c>
      <c r="N132" s="6" t="s">
        <v>319</v>
      </c>
      <c r="O132" s="6" t="s">
        <v>318</v>
      </c>
      <c r="P132" s="6" t="s">
        <v>319</v>
      </c>
      <c r="Q132" s="6" t="str">
        <f t="shared" si="6"/>
        <v>Commercial Ops</v>
      </c>
      <c r="R132" s="21"/>
    </row>
    <row r="133" spans="1:18" s="6" customFormat="1" x14ac:dyDescent="0.2">
      <c r="A133" s="3" t="str">
        <f t="shared" si="5"/>
        <v>F2DA_SUBAG</v>
      </c>
      <c r="B133" s="6" t="s">
        <v>15</v>
      </c>
      <c r="C133" s="6" t="s">
        <v>486</v>
      </c>
      <c r="D133" s="6" t="s">
        <v>487</v>
      </c>
      <c r="E133" s="6" t="s">
        <v>488</v>
      </c>
      <c r="F133" s="6" t="s">
        <v>176</v>
      </c>
      <c r="G133" s="6" t="s">
        <v>489</v>
      </c>
      <c r="H133" s="6" t="s">
        <v>489</v>
      </c>
      <c r="I133" s="6" t="s">
        <v>490</v>
      </c>
      <c r="J133" s="6" t="s">
        <v>491</v>
      </c>
      <c r="K133" s="6" t="s">
        <v>491</v>
      </c>
      <c r="L133" s="6" t="s">
        <v>492</v>
      </c>
      <c r="M133" s="6" t="s">
        <v>493</v>
      </c>
      <c r="N133" s="6" t="s">
        <v>493</v>
      </c>
      <c r="O133" s="6" t="s">
        <v>183</v>
      </c>
      <c r="P133" s="6" t="s">
        <v>180</v>
      </c>
      <c r="Q133" s="6" t="str">
        <f t="shared" si="6"/>
        <v>Dedicated Affiliate</v>
      </c>
      <c r="R133" s="21"/>
    </row>
    <row r="134" spans="1:18" s="6" customFormat="1" x14ac:dyDescent="0.2">
      <c r="A134" s="3" t="str">
        <f t="shared" si="5"/>
        <v>F2EC_SUBL2</v>
      </c>
      <c r="B134" s="6" t="s">
        <v>15</v>
      </c>
      <c r="C134" s="6" t="s">
        <v>502</v>
      </c>
      <c r="D134" s="6" t="s">
        <v>503</v>
      </c>
      <c r="E134" s="6" t="s">
        <v>504</v>
      </c>
      <c r="F134" s="6" t="s">
        <v>505</v>
      </c>
      <c r="G134" s="6" t="s">
        <v>506</v>
      </c>
      <c r="H134" s="6" t="s">
        <v>506</v>
      </c>
      <c r="I134" s="6" t="s">
        <v>507</v>
      </c>
      <c r="J134" s="6" t="s">
        <v>508</v>
      </c>
      <c r="K134" s="6" t="s">
        <v>509</v>
      </c>
      <c r="L134" s="6" t="s">
        <v>492</v>
      </c>
      <c r="M134" s="6" t="s">
        <v>493</v>
      </c>
      <c r="N134" s="6" t="s">
        <v>493</v>
      </c>
      <c r="O134" s="6" t="s">
        <v>510</v>
      </c>
      <c r="P134" s="6" t="s">
        <v>511</v>
      </c>
      <c r="Q134" s="6" t="str">
        <f t="shared" si="6"/>
        <v>Expert Cons.</v>
      </c>
      <c r="R134" s="21"/>
    </row>
    <row r="135" spans="1:18" s="6" customFormat="1" x14ac:dyDescent="0.2">
      <c r="A135" s="3" t="str">
        <f t="shared" si="5"/>
        <v>F15SP_SUBDC</v>
      </c>
      <c r="B135" s="6" t="s">
        <v>15</v>
      </c>
      <c r="C135" s="6" t="s">
        <v>365</v>
      </c>
      <c r="D135" s="6" t="s">
        <v>366</v>
      </c>
      <c r="E135" s="6" t="s">
        <v>337</v>
      </c>
      <c r="F135" s="6" t="s">
        <v>314</v>
      </c>
      <c r="G135" s="6" t="s">
        <v>367</v>
      </c>
      <c r="H135" s="6" t="s">
        <v>367</v>
      </c>
      <c r="I135" s="6" t="s">
        <v>338</v>
      </c>
      <c r="J135" s="6" t="s">
        <v>339</v>
      </c>
      <c r="K135" s="6" t="s">
        <v>339</v>
      </c>
      <c r="L135" s="6" t="s">
        <v>317</v>
      </c>
      <c r="M135" s="6" t="s">
        <v>318</v>
      </c>
      <c r="N135" s="6" t="s">
        <v>319</v>
      </c>
      <c r="O135" s="6" t="s">
        <v>318</v>
      </c>
      <c r="P135" s="6" t="s">
        <v>319</v>
      </c>
      <c r="Q135" s="6" t="str">
        <f t="shared" si="6"/>
        <v>Practice Teams</v>
      </c>
      <c r="R135" s="21"/>
    </row>
    <row r="136" spans="1:18" s="6" customFormat="1" x14ac:dyDescent="0.2">
      <c r="A136" s="3" t="str">
        <f t="shared" si="5"/>
        <v>VFPD_SUBOB</v>
      </c>
      <c r="B136" s="6" t="s">
        <v>15</v>
      </c>
      <c r="C136" s="6" t="s">
        <v>1130</v>
      </c>
      <c r="D136" s="6" t="s">
        <v>1131</v>
      </c>
      <c r="E136" s="6" t="s">
        <v>1085</v>
      </c>
      <c r="F136" s="6" t="s">
        <v>1073</v>
      </c>
      <c r="G136" s="6" t="s">
        <v>1132</v>
      </c>
      <c r="H136" s="6" t="s">
        <v>1133</v>
      </c>
      <c r="I136" s="6" t="s">
        <v>1087</v>
      </c>
      <c r="J136" s="6" t="s">
        <v>1401</v>
      </c>
      <c r="K136" s="6" t="s">
        <v>1088</v>
      </c>
      <c r="L136" s="6" t="s">
        <v>1076</v>
      </c>
      <c r="M136" s="6" t="s">
        <v>1077</v>
      </c>
      <c r="N136" s="6" t="s">
        <v>1078</v>
      </c>
      <c r="O136" s="6" t="s">
        <v>1077</v>
      </c>
      <c r="P136" s="6" t="s">
        <v>1078</v>
      </c>
      <c r="Q136" s="6" t="str">
        <f t="shared" si="6"/>
        <v>PEDV</v>
      </c>
      <c r="R136" s="21"/>
    </row>
    <row r="137" spans="1:18" s="6" customFormat="1" x14ac:dyDescent="0.2">
      <c r="A137" s="3" t="str">
        <f t="shared" si="5"/>
        <v>VFPD_SUBDD</v>
      </c>
      <c r="B137" s="6" t="s">
        <v>15</v>
      </c>
      <c r="C137" s="6" t="s">
        <v>1083</v>
      </c>
      <c r="D137" s="6" t="s">
        <v>1084</v>
      </c>
      <c r="E137" s="6" t="s">
        <v>1085</v>
      </c>
      <c r="F137" s="6" t="s">
        <v>1073</v>
      </c>
      <c r="G137" s="6" t="s">
        <v>1086</v>
      </c>
      <c r="H137" s="6" t="s">
        <v>1086</v>
      </c>
      <c r="I137" s="6" t="s">
        <v>1087</v>
      </c>
      <c r="J137" s="6" t="s">
        <v>1401</v>
      </c>
      <c r="K137" s="6" t="s">
        <v>1088</v>
      </c>
      <c r="L137" s="6" t="s">
        <v>1076</v>
      </c>
      <c r="M137" s="6" t="s">
        <v>1077</v>
      </c>
      <c r="N137" s="6" t="s">
        <v>1078</v>
      </c>
      <c r="O137" s="6" t="s">
        <v>1077</v>
      </c>
      <c r="P137" s="6" t="s">
        <v>1078</v>
      </c>
      <c r="Q137" s="6" t="str">
        <f t="shared" si="6"/>
        <v>PEDV</v>
      </c>
      <c r="R137" s="21"/>
    </row>
    <row r="138" spans="1:18" s="6" customFormat="1" x14ac:dyDescent="0.2">
      <c r="A138" s="3" t="str">
        <f t="shared" si="5"/>
        <v>F10DM_SUBBL</v>
      </c>
      <c r="B138" s="6" t="s">
        <v>15</v>
      </c>
      <c r="C138" s="6" t="s">
        <v>251</v>
      </c>
      <c r="D138" s="6" t="s">
        <v>252</v>
      </c>
      <c r="E138" s="6" t="s">
        <v>253</v>
      </c>
      <c r="F138" s="6" t="s">
        <v>189</v>
      </c>
      <c r="G138" s="6" t="s">
        <v>254</v>
      </c>
      <c r="H138" s="6" t="s">
        <v>254</v>
      </c>
      <c r="I138" s="6" t="s">
        <v>255</v>
      </c>
      <c r="J138" s="6" t="s">
        <v>256</v>
      </c>
      <c r="K138" s="6" t="s">
        <v>256</v>
      </c>
      <c r="L138" s="6" t="s">
        <v>191</v>
      </c>
      <c r="M138" s="6" t="s">
        <v>192</v>
      </c>
      <c r="N138" s="6" t="s">
        <v>192</v>
      </c>
      <c r="O138" s="6" t="s">
        <v>192</v>
      </c>
      <c r="P138" s="6" t="s">
        <v>192</v>
      </c>
      <c r="Q138" s="6" t="str">
        <f t="shared" si="6"/>
        <v>Digital Marketing</v>
      </c>
      <c r="R138" s="21"/>
    </row>
    <row r="139" spans="1:18" s="6" customFormat="1" x14ac:dyDescent="0.2">
      <c r="A139" s="3" t="str">
        <f t="shared" si="5"/>
        <v>F10DM_SUBBO</v>
      </c>
      <c r="B139" s="6" t="s">
        <v>15</v>
      </c>
      <c r="C139" s="6" t="s">
        <v>257</v>
      </c>
      <c r="D139" s="6" t="s">
        <v>258</v>
      </c>
      <c r="E139" s="6" t="s">
        <v>253</v>
      </c>
      <c r="F139" s="6" t="s">
        <v>189</v>
      </c>
      <c r="G139" s="6" t="s">
        <v>259</v>
      </c>
      <c r="H139" s="6" t="s">
        <v>259</v>
      </c>
      <c r="I139" s="6" t="s">
        <v>255</v>
      </c>
      <c r="J139" s="6" t="s">
        <v>256</v>
      </c>
      <c r="K139" s="6" t="s">
        <v>256</v>
      </c>
      <c r="L139" s="6" t="s">
        <v>191</v>
      </c>
      <c r="M139" s="6" t="s">
        <v>192</v>
      </c>
      <c r="N139" s="6" t="s">
        <v>192</v>
      </c>
      <c r="O139" s="6" t="s">
        <v>192</v>
      </c>
      <c r="P139" s="6" t="s">
        <v>192</v>
      </c>
      <c r="Q139" s="6" t="str">
        <f t="shared" si="6"/>
        <v>Digital Marketing</v>
      </c>
      <c r="R139" s="21"/>
    </row>
    <row r="140" spans="1:18" s="6" customFormat="1" x14ac:dyDescent="0.2">
      <c r="A140" s="3" t="str">
        <f t="shared" si="5"/>
        <v>F10DM_SUBBQ</v>
      </c>
      <c r="B140" s="6" t="s">
        <v>15</v>
      </c>
      <c r="C140" s="6" t="s">
        <v>260</v>
      </c>
      <c r="D140" s="6" t="s">
        <v>261</v>
      </c>
      <c r="E140" s="6" t="s">
        <v>253</v>
      </c>
      <c r="F140" s="6" t="s">
        <v>189</v>
      </c>
      <c r="G140" s="6" t="s">
        <v>262</v>
      </c>
      <c r="H140" s="6" t="s">
        <v>262</v>
      </c>
      <c r="I140" s="6" t="s">
        <v>255</v>
      </c>
      <c r="J140" s="6" t="s">
        <v>256</v>
      </c>
      <c r="K140" s="6" t="s">
        <v>256</v>
      </c>
      <c r="L140" s="6" t="s">
        <v>191</v>
      </c>
      <c r="M140" s="6" t="s">
        <v>192</v>
      </c>
      <c r="N140" s="6" t="s">
        <v>192</v>
      </c>
      <c r="O140" s="6" t="s">
        <v>192</v>
      </c>
      <c r="P140" s="6" t="s">
        <v>192</v>
      </c>
      <c r="Q140" s="6" t="str">
        <f t="shared" si="6"/>
        <v>Digital Marketing</v>
      </c>
      <c r="R140" s="21"/>
    </row>
    <row r="141" spans="1:18" s="6" customFormat="1" x14ac:dyDescent="0.2">
      <c r="A141" s="3" t="str">
        <f t="shared" si="5"/>
        <v>F10DM_SUBM1</v>
      </c>
      <c r="B141" s="6" t="s">
        <v>23</v>
      </c>
      <c r="C141" s="6" t="s">
        <v>263</v>
      </c>
      <c r="D141" s="6" t="s">
        <v>264</v>
      </c>
      <c r="E141" s="6" t="s">
        <v>253</v>
      </c>
      <c r="F141" s="6" t="s">
        <v>189</v>
      </c>
      <c r="G141" s="6" t="s">
        <v>256</v>
      </c>
      <c r="H141" s="6" t="s">
        <v>256</v>
      </c>
      <c r="I141" s="6" t="s">
        <v>255</v>
      </c>
      <c r="J141" s="6" t="s">
        <v>256</v>
      </c>
      <c r="K141" s="6" t="s">
        <v>256</v>
      </c>
      <c r="L141" s="6" t="s">
        <v>191</v>
      </c>
      <c r="M141" s="6" t="s">
        <v>192</v>
      </c>
      <c r="N141" s="6" t="s">
        <v>192</v>
      </c>
      <c r="O141" s="6" t="s">
        <v>192</v>
      </c>
      <c r="P141" s="6" t="s">
        <v>192</v>
      </c>
      <c r="Q141" s="6" t="str">
        <f t="shared" si="6"/>
        <v>Digital Marketing</v>
      </c>
      <c r="R141" s="21"/>
    </row>
    <row r="142" spans="1:18" s="6" customFormat="1" x14ac:dyDescent="0.2">
      <c r="A142" s="3" t="str">
        <f t="shared" si="5"/>
        <v>F10ED_SUBED</v>
      </c>
      <c r="B142" s="6" t="s">
        <v>15</v>
      </c>
      <c r="C142" s="6" t="s">
        <v>279</v>
      </c>
      <c r="D142" s="6" t="s">
        <v>280</v>
      </c>
      <c r="E142" s="6" t="s">
        <v>281</v>
      </c>
      <c r="F142" s="6" t="s">
        <v>189</v>
      </c>
      <c r="G142" s="6" t="s">
        <v>282</v>
      </c>
      <c r="H142" s="6" t="s">
        <v>282</v>
      </c>
      <c r="I142" s="6" t="s">
        <v>283</v>
      </c>
      <c r="J142" s="6" t="s">
        <v>282</v>
      </c>
      <c r="K142" s="6" t="s">
        <v>282</v>
      </c>
      <c r="L142" s="6" t="s">
        <v>191</v>
      </c>
      <c r="M142" s="6" t="s">
        <v>192</v>
      </c>
      <c r="N142" s="6" t="s">
        <v>192</v>
      </c>
      <c r="O142" s="6" t="s">
        <v>192</v>
      </c>
      <c r="P142" s="6" t="s">
        <v>192</v>
      </c>
      <c r="Q142" s="6" t="str">
        <f t="shared" si="6"/>
        <v>Editorial</v>
      </c>
      <c r="R142" s="21"/>
    </row>
    <row r="143" spans="1:18" s="6" customFormat="1" ht="25.5" x14ac:dyDescent="0.2">
      <c r="A143" s="3" t="str">
        <f t="shared" si="5"/>
        <v>F3GF_SUBEA</v>
      </c>
      <c r="B143" s="6" t="s">
        <v>23</v>
      </c>
      <c r="C143" s="6" t="s">
        <v>619</v>
      </c>
      <c r="D143" s="6" t="s">
        <v>620</v>
      </c>
      <c r="E143" s="6" t="s">
        <v>597</v>
      </c>
      <c r="F143" s="6" t="s">
        <v>573</v>
      </c>
      <c r="G143" s="6" t="s">
        <v>621</v>
      </c>
      <c r="H143" s="6" t="s">
        <v>621</v>
      </c>
      <c r="I143" s="6" t="s">
        <v>600</v>
      </c>
      <c r="J143" s="6" t="s">
        <v>601</v>
      </c>
      <c r="K143" s="6" t="s">
        <v>601</v>
      </c>
      <c r="L143" s="6" t="s">
        <v>575</v>
      </c>
      <c r="M143" s="6" t="s">
        <v>576</v>
      </c>
      <c r="N143" s="6" t="s">
        <v>576</v>
      </c>
      <c r="O143" s="6" t="s">
        <v>576</v>
      </c>
      <c r="P143" s="6" t="s">
        <v>576</v>
      </c>
      <c r="Q143" s="6" t="str">
        <f t="shared" si="6"/>
        <v>Global Finance</v>
      </c>
      <c r="R143" s="21" t="s">
        <v>1519</v>
      </c>
    </row>
    <row r="144" spans="1:18" s="6" customFormat="1" x14ac:dyDescent="0.2">
      <c r="A144" s="3" t="str">
        <f t="shared" si="5"/>
        <v>F4CS_SUBBK</v>
      </c>
      <c r="B144" s="6" t="s">
        <v>15</v>
      </c>
      <c r="C144" s="6" t="s">
        <v>243</v>
      </c>
      <c r="D144" s="6" t="s">
        <v>244</v>
      </c>
      <c r="E144" s="6" t="s">
        <v>236</v>
      </c>
      <c r="F144" s="6" t="s">
        <v>680</v>
      </c>
      <c r="G144" s="6" t="s">
        <v>245</v>
      </c>
      <c r="H144" s="6" t="s">
        <v>245</v>
      </c>
      <c r="I144" s="6" t="s">
        <v>238</v>
      </c>
      <c r="J144" s="6" t="s">
        <v>239</v>
      </c>
      <c r="K144" s="6" t="s">
        <v>239</v>
      </c>
      <c r="L144" s="6" t="s">
        <v>686</v>
      </c>
      <c r="M144" s="6" t="s">
        <v>687</v>
      </c>
      <c r="N144" s="6" t="s">
        <v>688</v>
      </c>
      <c r="O144" s="6" t="s">
        <v>687</v>
      </c>
      <c r="P144" s="6" t="s">
        <v>688</v>
      </c>
      <c r="Q144" s="6" t="str">
        <f t="shared" si="6"/>
        <v>Creative Services</v>
      </c>
      <c r="R144" s="21"/>
    </row>
    <row r="145" spans="1:18" s="6" customFormat="1" x14ac:dyDescent="0.2">
      <c r="A145" s="3" t="str">
        <f t="shared" si="5"/>
        <v>F3EF_SUBEF</v>
      </c>
      <c r="B145" s="6" t="s">
        <v>15</v>
      </c>
      <c r="C145" s="6" t="s">
        <v>593</v>
      </c>
      <c r="D145" s="6" t="s">
        <v>594</v>
      </c>
      <c r="E145" s="6" t="s">
        <v>589</v>
      </c>
      <c r="F145" s="6" t="s">
        <v>573</v>
      </c>
      <c r="G145" s="6" t="s">
        <v>592</v>
      </c>
      <c r="H145" s="6" t="s">
        <v>592</v>
      </c>
      <c r="I145" s="6" t="s">
        <v>591</v>
      </c>
      <c r="J145" s="6" t="s">
        <v>592</v>
      </c>
      <c r="K145" s="6" t="s">
        <v>592</v>
      </c>
      <c r="L145" s="6" t="s">
        <v>575</v>
      </c>
      <c r="M145" s="6" t="s">
        <v>576</v>
      </c>
      <c r="N145" s="6" t="s">
        <v>576</v>
      </c>
      <c r="O145" s="6" t="s">
        <v>576</v>
      </c>
      <c r="P145" s="6" t="s">
        <v>576</v>
      </c>
      <c r="Q145" s="6" t="str">
        <f t="shared" si="6"/>
        <v>EMEA Finance</v>
      </c>
      <c r="R145" s="21"/>
    </row>
    <row r="146" spans="1:18" s="6" customFormat="1" x14ac:dyDescent="0.2">
      <c r="A146" s="3" t="str">
        <f t="shared" si="5"/>
        <v>F3SS_SUBVE</v>
      </c>
      <c r="B146" s="6" t="s">
        <v>15</v>
      </c>
      <c r="C146" s="6" t="s">
        <v>674</v>
      </c>
      <c r="D146" s="6" t="s">
        <v>675</v>
      </c>
      <c r="E146" s="6" t="s">
        <v>670</v>
      </c>
      <c r="F146" s="6" t="s">
        <v>573</v>
      </c>
      <c r="G146" s="6" t="s">
        <v>676</v>
      </c>
      <c r="H146" s="6" t="s">
        <v>676</v>
      </c>
      <c r="I146" s="6" t="s">
        <v>672</v>
      </c>
      <c r="J146" s="6" t="s">
        <v>673</v>
      </c>
      <c r="K146" s="6" t="s">
        <v>673</v>
      </c>
      <c r="L146" s="6" t="s">
        <v>575</v>
      </c>
      <c r="M146" s="6" t="s">
        <v>576</v>
      </c>
      <c r="N146" s="6" t="s">
        <v>576</v>
      </c>
      <c r="O146" s="6" t="s">
        <v>576</v>
      </c>
      <c r="P146" s="6" t="s">
        <v>576</v>
      </c>
      <c r="Q146" s="6" t="str">
        <f t="shared" si="6"/>
        <v>GBS Finance</v>
      </c>
      <c r="R146" s="21"/>
    </row>
    <row r="147" spans="1:18" s="6" customFormat="1" x14ac:dyDescent="0.2">
      <c r="A147" s="3" t="str">
        <f t="shared" si="5"/>
        <v>THGR_SUBRI</v>
      </c>
      <c r="B147" s="6" t="s">
        <v>15</v>
      </c>
      <c r="C147" s="6" t="s">
        <v>958</v>
      </c>
      <c r="D147" s="6" t="s">
        <v>959</v>
      </c>
      <c r="E147" s="6" t="s">
        <v>921</v>
      </c>
      <c r="F147" s="6" t="s">
        <v>884</v>
      </c>
      <c r="G147" s="6" t="s">
        <v>960</v>
      </c>
      <c r="H147" s="6" t="s">
        <v>960</v>
      </c>
      <c r="I147" s="6" t="s">
        <v>923</v>
      </c>
      <c r="J147" s="6" t="s">
        <v>924</v>
      </c>
      <c r="K147" s="6" t="s">
        <v>925</v>
      </c>
      <c r="L147" s="6" t="s">
        <v>887</v>
      </c>
      <c r="M147" s="6" t="s">
        <v>888</v>
      </c>
      <c r="N147" s="6" t="s">
        <v>889</v>
      </c>
      <c r="O147" s="6" t="s">
        <v>888</v>
      </c>
      <c r="P147" s="6" t="s">
        <v>889</v>
      </c>
      <c r="Q147" s="6" t="str">
        <f t="shared" si="6"/>
        <v>HR &amp; Talent Mgmt.</v>
      </c>
      <c r="R147" s="21"/>
    </row>
    <row r="148" spans="1:18" s="6" customFormat="1" ht="25.5" x14ac:dyDescent="0.2">
      <c r="A148" s="3" t="str">
        <f t="shared" si="5"/>
        <v>THGR_SUBRH</v>
      </c>
      <c r="B148" s="6" t="s">
        <v>23</v>
      </c>
      <c r="C148" s="6" t="s">
        <v>890</v>
      </c>
      <c r="D148" s="6" t="s">
        <v>891</v>
      </c>
      <c r="E148" s="6" t="s">
        <v>921</v>
      </c>
      <c r="F148" s="6" t="s">
        <v>884</v>
      </c>
      <c r="G148" s="6" t="s">
        <v>892</v>
      </c>
      <c r="H148" s="6" t="s">
        <v>893</v>
      </c>
      <c r="I148" s="6" t="s">
        <v>923</v>
      </c>
      <c r="J148" s="6" t="s">
        <v>924</v>
      </c>
      <c r="K148" s="6" t="s">
        <v>925</v>
      </c>
      <c r="L148" s="6" t="s">
        <v>887</v>
      </c>
      <c r="M148" s="6" t="s">
        <v>888</v>
      </c>
      <c r="N148" s="6" t="s">
        <v>889</v>
      </c>
      <c r="O148" s="6" t="s">
        <v>888</v>
      </c>
      <c r="P148" s="6" t="s">
        <v>889</v>
      </c>
      <c r="Q148" s="6" t="str">
        <f t="shared" si="6"/>
        <v>HR &amp; Talent Mgmt.</v>
      </c>
      <c r="R148" s="25" t="s">
        <v>1548</v>
      </c>
    </row>
    <row r="149" spans="1:18" s="6" customFormat="1" x14ac:dyDescent="0.2">
      <c r="A149" s="3" t="str">
        <f t="shared" si="5"/>
        <v>F7RL_SUBAW</v>
      </c>
      <c r="B149" s="6" t="s">
        <v>15</v>
      </c>
      <c r="C149" s="6" t="s">
        <v>744</v>
      </c>
      <c r="D149" s="6" t="s">
        <v>745</v>
      </c>
      <c r="E149" s="6" t="s">
        <v>736</v>
      </c>
      <c r="F149" s="6" t="s">
        <v>720</v>
      </c>
      <c r="G149" s="6" t="s">
        <v>746</v>
      </c>
      <c r="H149" s="6" t="s">
        <v>746</v>
      </c>
      <c r="I149" s="6" t="s">
        <v>738</v>
      </c>
      <c r="J149" s="6" t="s">
        <v>739</v>
      </c>
      <c r="K149" s="6" t="s">
        <v>740</v>
      </c>
      <c r="L149" s="6" t="s">
        <v>723</v>
      </c>
      <c r="M149" s="6" t="s">
        <v>724</v>
      </c>
      <c r="N149" s="6" t="s">
        <v>724</v>
      </c>
      <c r="O149" s="6" t="s">
        <v>724</v>
      </c>
      <c r="P149" s="6" t="s">
        <v>724</v>
      </c>
      <c r="Q149" s="6" t="str">
        <f t="shared" si="6"/>
        <v>Reg. Legal Services</v>
      </c>
      <c r="R149" s="21"/>
    </row>
    <row r="150" spans="1:18" s="6" customFormat="1" x14ac:dyDescent="0.2">
      <c r="A150" s="3" t="str">
        <f t="shared" si="5"/>
        <v>F3EF_SUBDQ</v>
      </c>
      <c r="B150" s="6" t="s">
        <v>15</v>
      </c>
      <c r="C150" s="6" t="s">
        <v>587</v>
      </c>
      <c r="D150" s="6" t="s">
        <v>588</v>
      </c>
      <c r="E150" s="6" t="s">
        <v>589</v>
      </c>
      <c r="F150" s="6" t="s">
        <v>573</v>
      </c>
      <c r="G150" s="6" t="s">
        <v>590</v>
      </c>
      <c r="H150" s="6" t="s">
        <v>590</v>
      </c>
      <c r="I150" s="6" t="s">
        <v>591</v>
      </c>
      <c r="J150" s="6" t="s">
        <v>592</v>
      </c>
      <c r="K150" s="6" t="s">
        <v>592</v>
      </c>
      <c r="L150" s="6" t="s">
        <v>575</v>
      </c>
      <c r="M150" s="6" t="s">
        <v>576</v>
      </c>
      <c r="N150" s="6" t="s">
        <v>576</v>
      </c>
      <c r="O150" s="6" t="s">
        <v>576</v>
      </c>
      <c r="P150" s="6" t="s">
        <v>576</v>
      </c>
      <c r="Q150" s="6" t="str">
        <f t="shared" si="6"/>
        <v>EMEA Finance</v>
      </c>
      <c r="R150" s="21"/>
    </row>
    <row r="151" spans="1:18" s="6" customFormat="1" x14ac:dyDescent="0.2">
      <c r="A151" s="3" t="str">
        <f t="shared" si="5"/>
        <v>F10MR_SUBEX</v>
      </c>
      <c r="B151" s="6" t="s">
        <v>15</v>
      </c>
      <c r="C151" s="6" t="s">
        <v>290</v>
      </c>
      <c r="D151" s="6" t="s">
        <v>291</v>
      </c>
      <c r="E151" s="6" t="s">
        <v>292</v>
      </c>
      <c r="F151" s="6" t="s">
        <v>189</v>
      </c>
      <c r="G151" s="6" t="s">
        <v>293</v>
      </c>
      <c r="H151" s="6" t="s">
        <v>293</v>
      </c>
      <c r="I151" s="6" t="s">
        <v>294</v>
      </c>
      <c r="J151" s="6" t="s">
        <v>295</v>
      </c>
      <c r="K151" s="6" t="s">
        <v>295</v>
      </c>
      <c r="L151" s="6" t="s">
        <v>191</v>
      </c>
      <c r="M151" s="6" t="s">
        <v>192</v>
      </c>
      <c r="N151" s="6" t="s">
        <v>192</v>
      </c>
      <c r="O151" s="6" t="s">
        <v>192</v>
      </c>
      <c r="P151" s="6" t="s">
        <v>192</v>
      </c>
      <c r="Q151" s="6" t="str">
        <f t="shared" si="6"/>
        <v>Market Reputation</v>
      </c>
      <c r="R151" s="21"/>
    </row>
    <row r="152" spans="1:18" s="6" customFormat="1" x14ac:dyDescent="0.2">
      <c r="A152" s="3" t="str">
        <f t="shared" si="5"/>
        <v>VFSQ_SUBWD</v>
      </c>
      <c r="B152" s="6" t="s">
        <v>15</v>
      </c>
      <c r="C152" s="6" t="s">
        <v>1105</v>
      </c>
      <c r="D152" s="6" t="s">
        <v>1106</v>
      </c>
      <c r="E152" s="6" t="s">
        <v>1094</v>
      </c>
      <c r="F152" s="6" t="s">
        <v>1073</v>
      </c>
      <c r="G152" s="6" t="s">
        <v>1107</v>
      </c>
      <c r="H152" s="6" t="s">
        <v>1107</v>
      </c>
      <c r="I152" s="6" t="s">
        <v>1096</v>
      </c>
      <c r="J152" s="6" t="s">
        <v>1097</v>
      </c>
      <c r="K152" s="6" t="s">
        <v>1098</v>
      </c>
      <c r="L152" s="6" t="s">
        <v>1076</v>
      </c>
      <c r="M152" s="6" t="s">
        <v>1077</v>
      </c>
      <c r="N152" s="6" t="s">
        <v>1078</v>
      </c>
      <c r="O152" s="6" t="s">
        <v>1077</v>
      </c>
      <c r="P152" s="6" t="s">
        <v>1078</v>
      </c>
      <c r="Q152" s="6" t="str">
        <f t="shared" si="6"/>
        <v>PE Strategy, Ops, Talent</v>
      </c>
      <c r="R152" s="21"/>
    </row>
    <row r="153" spans="1:18" s="6" customFormat="1" x14ac:dyDescent="0.2">
      <c r="A153" s="3" t="str">
        <f t="shared" si="5"/>
        <v>WXO3</v>
      </c>
      <c r="B153" s="6" t="s">
        <v>15</v>
      </c>
      <c r="C153" s="5" t="s">
        <v>1206</v>
      </c>
      <c r="D153" s="5" t="s">
        <v>1207</v>
      </c>
      <c r="F153" s="6" t="s">
        <v>1198</v>
      </c>
      <c r="G153" s="5" t="s">
        <v>1208</v>
      </c>
      <c r="H153" s="5" t="s">
        <v>1209</v>
      </c>
      <c r="I153" s="6" t="s">
        <v>18</v>
      </c>
      <c r="J153" s="6" t="s">
        <v>18</v>
      </c>
      <c r="K153" s="6" t="s">
        <v>18</v>
      </c>
      <c r="L153" s="6" t="s">
        <v>1201</v>
      </c>
      <c r="M153" s="6" t="s">
        <v>1199</v>
      </c>
      <c r="N153" s="6" t="s">
        <v>1200</v>
      </c>
      <c r="O153" s="6" t="s">
        <v>1199</v>
      </c>
      <c r="P153" s="6" t="s">
        <v>1200</v>
      </c>
      <c r="Q153" s="6" t="str">
        <f t="shared" si="6"/>
        <v>RDS Other</v>
      </c>
      <c r="R153" s="21"/>
    </row>
    <row r="154" spans="1:18" s="6" customFormat="1" x14ac:dyDescent="0.2">
      <c r="A154" s="3" t="str">
        <f t="shared" si="5"/>
        <v>REE9</v>
      </c>
      <c r="B154" s="6" t="s">
        <v>15</v>
      </c>
      <c r="C154" s="6" t="s">
        <v>1230</v>
      </c>
      <c r="D154" s="6" t="s">
        <v>1341</v>
      </c>
      <c r="F154" s="6" t="s">
        <v>813</v>
      </c>
      <c r="G154" s="6" t="s">
        <v>1343</v>
      </c>
      <c r="H154" s="6" t="s">
        <v>1342</v>
      </c>
      <c r="L154" s="6" t="s">
        <v>816</v>
      </c>
      <c r="M154" s="6" t="s">
        <v>817</v>
      </c>
      <c r="N154" s="6" t="s">
        <v>817</v>
      </c>
      <c r="O154" s="6" t="s">
        <v>817</v>
      </c>
      <c r="P154" s="6" t="s">
        <v>817</v>
      </c>
      <c r="Q154" s="6" t="str">
        <f t="shared" si="6"/>
        <v>Talent Acquisition Other</v>
      </c>
      <c r="R154" s="21"/>
    </row>
    <row r="155" spans="1:18" s="6" customFormat="1" x14ac:dyDescent="0.2">
      <c r="A155" s="3" t="str">
        <f t="shared" si="5"/>
        <v>F10BA_SUBAY</v>
      </c>
      <c r="B155" s="6" t="s">
        <v>15</v>
      </c>
      <c r="C155" s="6" t="s">
        <v>212</v>
      </c>
      <c r="D155" s="6" t="s">
        <v>213</v>
      </c>
      <c r="E155" s="6" t="s">
        <v>214</v>
      </c>
      <c r="F155" s="6" t="s">
        <v>189</v>
      </c>
      <c r="G155" s="6" t="s">
        <v>215</v>
      </c>
      <c r="H155" s="6" t="s">
        <v>215</v>
      </c>
      <c r="I155" s="6" t="s">
        <v>216</v>
      </c>
      <c r="J155" s="6" t="s">
        <v>217</v>
      </c>
      <c r="K155" s="6" t="s">
        <v>217</v>
      </c>
      <c r="L155" s="6" t="s">
        <v>191</v>
      </c>
      <c r="M155" s="6" t="s">
        <v>192</v>
      </c>
      <c r="N155" s="6" t="s">
        <v>192</v>
      </c>
      <c r="O155" s="6" t="s">
        <v>192</v>
      </c>
      <c r="P155" s="6" t="s">
        <v>192</v>
      </c>
      <c r="Q155" s="6" t="str">
        <f t="shared" si="6"/>
        <v>Brand Studio</v>
      </c>
      <c r="R155" s="21"/>
    </row>
    <row r="156" spans="1:18" s="6" customFormat="1" x14ac:dyDescent="0.2">
      <c r="A156" s="3" t="str">
        <f t="shared" si="5"/>
        <v>F7GS_SUBAK</v>
      </c>
      <c r="B156" s="6" t="s">
        <v>15</v>
      </c>
      <c r="C156" s="6" t="s">
        <v>731</v>
      </c>
      <c r="D156" s="6" t="s">
        <v>732</v>
      </c>
      <c r="E156" s="6" t="s">
        <v>727</v>
      </c>
      <c r="F156" s="6" t="s">
        <v>720</v>
      </c>
      <c r="G156" s="6" t="s">
        <v>733</v>
      </c>
      <c r="H156" s="6" t="s">
        <v>733</v>
      </c>
      <c r="I156" s="6" t="s">
        <v>729</v>
      </c>
      <c r="J156" s="6" t="s">
        <v>730</v>
      </c>
      <c r="K156" s="6" t="s">
        <v>730</v>
      </c>
      <c r="L156" s="6" t="s">
        <v>723</v>
      </c>
      <c r="M156" s="6" t="s">
        <v>724</v>
      </c>
      <c r="N156" s="6" t="s">
        <v>724</v>
      </c>
      <c r="O156" s="6" t="s">
        <v>724</v>
      </c>
      <c r="P156" s="6" t="s">
        <v>724</v>
      </c>
      <c r="Q156" s="6" t="str">
        <f t="shared" si="6"/>
        <v>Global Legal Services</v>
      </c>
      <c r="R156" s="21"/>
    </row>
    <row r="157" spans="1:18" s="6" customFormat="1" x14ac:dyDescent="0.2">
      <c r="A157" s="3" t="str">
        <f t="shared" si="5"/>
        <v>F2EC_SUBL3</v>
      </c>
      <c r="B157" s="6" t="s">
        <v>15</v>
      </c>
      <c r="C157" s="6" t="s">
        <v>512</v>
      </c>
      <c r="D157" s="6" t="s">
        <v>513</v>
      </c>
      <c r="E157" s="6" t="s">
        <v>504</v>
      </c>
      <c r="F157" s="6" t="s">
        <v>505</v>
      </c>
      <c r="G157" s="6" t="s">
        <v>1385</v>
      </c>
      <c r="H157" s="6" t="s">
        <v>514</v>
      </c>
      <c r="I157" s="6" t="s">
        <v>507</v>
      </c>
      <c r="J157" s="6" t="s">
        <v>508</v>
      </c>
      <c r="K157" s="6" t="s">
        <v>509</v>
      </c>
      <c r="L157" s="6" t="s">
        <v>492</v>
      </c>
      <c r="M157" s="6" t="s">
        <v>493</v>
      </c>
      <c r="N157" s="6" t="s">
        <v>493</v>
      </c>
      <c r="O157" s="6" t="s">
        <v>510</v>
      </c>
      <c r="P157" s="6" t="s">
        <v>511</v>
      </c>
      <c r="Q157" s="6" t="str">
        <f t="shared" si="6"/>
        <v>Expert Cons.</v>
      </c>
      <c r="R157" s="21"/>
    </row>
    <row r="158" spans="1:18" s="6" customFormat="1" x14ac:dyDescent="0.2">
      <c r="A158" s="3" t="str">
        <f t="shared" si="5"/>
        <v>F15SP_SUBE2</v>
      </c>
      <c r="B158" s="6" t="s">
        <v>15</v>
      </c>
      <c r="C158" s="6" t="s">
        <v>372</v>
      </c>
      <c r="D158" s="6" t="s">
        <v>373</v>
      </c>
      <c r="E158" s="6" t="s">
        <v>337</v>
      </c>
      <c r="F158" s="6" t="s">
        <v>314</v>
      </c>
      <c r="G158" s="6" t="s">
        <v>374</v>
      </c>
      <c r="H158" s="6" t="s">
        <v>375</v>
      </c>
      <c r="I158" s="6" t="s">
        <v>338</v>
      </c>
      <c r="J158" s="6" t="s">
        <v>339</v>
      </c>
      <c r="K158" s="6" t="s">
        <v>339</v>
      </c>
      <c r="L158" s="6" t="s">
        <v>317</v>
      </c>
      <c r="M158" s="6" t="s">
        <v>318</v>
      </c>
      <c r="N158" s="6" t="s">
        <v>319</v>
      </c>
      <c r="O158" s="6" t="s">
        <v>318</v>
      </c>
      <c r="P158" s="6" t="s">
        <v>319</v>
      </c>
      <c r="Q158" s="6" t="str">
        <f t="shared" si="6"/>
        <v>Practice Teams</v>
      </c>
      <c r="R158" s="21" t="s">
        <v>1621</v>
      </c>
    </row>
    <row r="159" spans="1:18" s="6" customFormat="1" x14ac:dyDescent="0.2">
      <c r="A159" s="3" t="str">
        <f t="shared" si="5"/>
        <v>F15SP_SUBD4</v>
      </c>
      <c r="B159" s="6" t="s">
        <v>23</v>
      </c>
      <c r="C159" s="6" t="s">
        <v>352</v>
      </c>
      <c r="D159" s="6" t="s">
        <v>373</v>
      </c>
      <c r="E159" s="6" t="s">
        <v>337</v>
      </c>
      <c r="F159" s="6" t="s">
        <v>314</v>
      </c>
      <c r="G159" s="6" t="s">
        <v>374</v>
      </c>
      <c r="H159" s="6" t="s">
        <v>375</v>
      </c>
      <c r="I159" s="6" t="s">
        <v>338</v>
      </c>
      <c r="J159" s="6" t="s">
        <v>339</v>
      </c>
      <c r="K159" s="6" t="s">
        <v>339</v>
      </c>
      <c r="L159" s="6" t="s">
        <v>317</v>
      </c>
      <c r="M159" s="6" t="s">
        <v>318</v>
      </c>
      <c r="N159" s="6" t="s">
        <v>319</v>
      </c>
      <c r="O159" s="6" t="s">
        <v>318</v>
      </c>
      <c r="P159" s="6" t="s">
        <v>319</v>
      </c>
      <c r="Q159" s="6" t="str">
        <f t="shared" si="6"/>
        <v>Practice Teams</v>
      </c>
      <c r="R159" s="21" t="s">
        <v>1564</v>
      </c>
    </row>
    <row r="160" spans="1:18" s="6" customFormat="1" x14ac:dyDescent="0.2">
      <c r="A160" s="3" t="str">
        <f t="shared" si="5"/>
        <v>F16EO</v>
      </c>
      <c r="B160" s="6" t="s">
        <v>23</v>
      </c>
      <c r="C160" s="6" t="s">
        <v>433</v>
      </c>
      <c r="D160" s="6" t="s">
        <v>434</v>
      </c>
      <c r="F160" s="6" t="s">
        <v>428</v>
      </c>
      <c r="G160" s="6" t="s">
        <v>435</v>
      </c>
      <c r="H160" s="6" t="s">
        <v>436</v>
      </c>
      <c r="I160" s="6" t="s">
        <v>18</v>
      </c>
      <c r="J160" s="6" t="s">
        <v>18</v>
      </c>
      <c r="K160" s="6" t="s">
        <v>18</v>
      </c>
      <c r="L160" s="6" t="s">
        <v>431</v>
      </c>
      <c r="M160" s="6" t="s">
        <v>372</v>
      </c>
      <c r="N160" s="6" t="s">
        <v>432</v>
      </c>
      <c r="O160" s="6" t="s">
        <v>372</v>
      </c>
      <c r="P160" s="6" t="s">
        <v>432</v>
      </c>
      <c r="Q160" s="6" t="str">
        <f t="shared" si="6"/>
        <v>E2 Other</v>
      </c>
      <c r="R160" s="21"/>
    </row>
    <row r="161" spans="1:18" s="6" customFormat="1" x14ac:dyDescent="0.2">
      <c r="A161" s="3" t="str">
        <f t="shared" si="5"/>
        <v>F2DA_SUBAV</v>
      </c>
      <c r="B161" s="6" t="s">
        <v>23</v>
      </c>
      <c r="C161" s="6" t="s">
        <v>494</v>
      </c>
      <c r="D161" s="6" t="s">
        <v>495</v>
      </c>
      <c r="E161" s="6" t="s">
        <v>488</v>
      </c>
      <c r="F161" s="6" t="s">
        <v>176</v>
      </c>
      <c r="G161" s="6" t="s">
        <v>496</v>
      </c>
      <c r="H161" s="6" t="s">
        <v>497</v>
      </c>
      <c r="I161" s="6" t="s">
        <v>490</v>
      </c>
      <c r="J161" s="6" t="s">
        <v>491</v>
      </c>
      <c r="K161" s="6" t="s">
        <v>491</v>
      </c>
      <c r="L161" s="6" t="s">
        <v>492</v>
      </c>
      <c r="M161" s="6" t="s">
        <v>493</v>
      </c>
      <c r="N161" s="6" t="s">
        <v>493</v>
      </c>
      <c r="O161" s="6" t="s">
        <v>183</v>
      </c>
      <c r="P161" s="6" t="s">
        <v>180</v>
      </c>
      <c r="Q161" s="6" t="str">
        <f t="shared" si="6"/>
        <v>Dedicated Affiliate</v>
      </c>
      <c r="R161" s="21"/>
    </row>
    <row r="162" spans="1:18" s="6" customFormat="1" x14ac:dyDescent="0.2">
      <c r="A162" s="3" t="str">
        <f t="shared" si="5"/>
        <v>F2EC_SUBL4</v>
      </c>
      <c r="B162" s="6" t="s">
        <v>15</v>
      </c>
      <c r="C162" s="6" t="s">
        <v>515</v>
      </c>
      <c r="D162" s="6" t="s">
        <v>516</v>
      </c>
      <c r="E162" s="6" t="s">
        <v>504</v>
      </c>
      <c r="F162" s="6" t="s">
        <v>505</v>
      </c>
      <c r="G162" s="6" t="s">
        <v>1386</v>
      </c>
      <c r="H162" s="6" t="s">
        <v>517</v>
      </c>
      <c r="I162" s="6" t="s">
        <v>507</v>
      </c>
      <c r="J162" s="6" t="s">
        <v>508</v>
      </c>
      <c r="K162" s="6" t="s">
        <v>509</v>
      </c>
      <c r="L162" s="6" t="s">
        <v>492</v>
      </c>
      <c r="M162" s="6" t="s">
        <v>493</v>
      </c>
      <c r="N162" s="6" t="s">
        <v>493</v>
      </c>
      <c r="O162" s="6" t="s">
        <v>510</v>
      </c>
      <c r="P162" s="6" t="s">
        <v>511</v>
      </c>
      <c r="Q162" s="6" t="str">
        <f t="shared" si="6"/>
        <v>Expert Cons.</v>
      </c>
      <c r="R162" s="21"/>
    </row>
    <row r="163" spans="1:18" s="6" customFormat="1" x14ac:dyDescent="0.2">
      <c r="A163" s="3" t="str">
        <f t="shared" si="5"/>
        <v>F15SP_SUBP4</v>
      </c>
      <c r="B163" s="6" t="s">
        <v>15</v>
      </c>
      <c r="C163" s="6" t="s">
        <v>405</v>
      </c>
      <c r="D163" s="6" t="s">
        <v>406</v>
      </c>
      <c r="E163" s="6" t="s">
        <v>337</v>
      </c>
      <c r="F163" s="6" t="s">
        <v>314</v>
      </c>
      <c r="G163" s="6" t="s">
        <v>407</v>
      </c>
      <c r="H163" s="6" t="s">
        <v>408</v>
      </c>
      <c r="I163" s="6" t="s">
        <v>338</v>
      </c>
      <c r="J163" s="6" t="s">
        <v>339</v>
      </c>
      <c r="K163" s="6" t="s">
        <v>339</v>
      </c>
      <c r="L163" s="6" t="s">
        <v>317</v>
      </c>
      <c r="M163" s="6" t="s">
        <v>318</v>
      </c>
      <c r="N163" s="6" t="s">
        <v>319</v>
      </c>
      <c r="O163" s="6" t="s">
        <v>318</v>
      </c>
      <c r="P163" s="6" t="s">
        <v>319</v>
      </c>
      <c r="Q163" s="6" t="str">
        <f t="shared" si="6"/>
        <v>Practice Teams</v>
      </c>
      <c r="R163" s="21"/>
    </row>
    <row r="164" spans="1:18" s="6" customFormat="1" x14ac:dyDescent="0.2">
      <c r="A164" s="3" t="str">
        <f t="shared" si="5"/>
        <v>EMAE</v>
      </c>
      <c r="B164" s="6" t="s">
        <v>15</v>
      </c>
      <c r="C164" s="6" t="s">
        <v>162</v>
      </c>
      <c r="D164" s="6" t="s">
        <v>163</v>
      </c>
      <c r="F164" s="6" t="s">
        <v>164</v>
      </c>
      <c r="G164" s="6" t="s">
        <v>165</v>
      </c>
      <c r="H164" s="6" t="s">
        <v>166</v>
      </c>
      <c r="I164" s="6" t="s">
        <v>18</v>
      </c>
      <c r="J164" s="6" t="s">
        <v>18</v>
      </c>
      <c r="K164" s="6" t="s">
        <v>18</v>
      </c>
      <c r="L164" s="6" t="s">
        <v>167</v>
      </c>
      <c r="M164" s="6" t="s">
        <v>165</v>
      </c>
      <c r="N164" s="6" t="s">
        <v>168</v>
      </c>
      <c r="O164" s="6" t="s">
        <v>165</v>
      </c>
      <c r="P164" s="6" t="s">
        <v>168</v>
      </c>
      <c r="Q164" s="6" t="str">
        <f t="shared" si="6"/>
        <v>EA/MA Other</v>
      </c>
      <c r="R164" s="21"/>
    </row>
    <row r="165" spans="1:18" s="6" customFormat="1" x14ac:dyDescent="0.2">
      <c r="A165" s="3" t="str">
        <f t="shared" si="5"/>
        <v>RERT_SUBTA</v>
      </c>
      <c r="B165" s="6" t="s">
        <v>15</v>
      </c>
      <c r="C165" s="6" t="s">
        <v>859</v>
      </c>
      <c r="D165" s="6" t="s">
        <v>860</v>
      </c>
      <c r="E165" s="6" t="s">
        <v>839</v>
      </c>
      <c r="F165" s="6" t="s">
        <v>813</v>
      </c>
      <c r="G165" s="6" t="s">
        <v>861</v>
      </c>
      <c r="H165" s="6" t="s">
        <v>862</v>
      </c>
      <c r="I165" s="6" t="s">
        <v>841</v>
      </c>
      <c r="J165" s="6" t="s">
        <v>842</v>
      </c>
      <c r="K165" s="6" t="s">
        <v>843</v>
      </c>
      <c r="L165" s="6" t="s">
        <v>816</v>
      </c>
      <c r="M165" s="6" t="s">
        <v>817</v>
      </c>
      <c r="N165" s="6" t="s">
        <v>817</v>
      </c>
      <c r="O165" s="6" t="s">
        <v>817</v>
      </c>
      <c r="P165" s="6" t="s">
        <v>817</v>
      </c>
      <c r="Q165" s="6" t="str">
        <f t="shared" si="6"/>
        <v>TA Teams</v>
      </c>
      <c r="R165" s="21" t="s">
        <v>1557</v>
      </c>
    </row>
    <row r="166" spans="1:18" s="6" customFormat="1" x14ac:dyDescent="0.2">
      <c r="A166" s="3" t="str">
        <f t="shared" si="5"/>
        <v>RERT_SUBBW</v>
      </c>
      <c r="B166" s="6" t="s">
        <v>23</v>
      </c>
      <c r="C166" s="6" t="s">
        <v>844</v>
      </c>
      <c r="D166" s="6" t="s">
        <v>860</v>
      </c>
      <c r="E166" s="6" t="s">
        <v>839</v>
      </c>
      <c r="F166" s="6" t="s">
        <v>813</v>
      </c>
      <c r="G166" s="6" t="s">
        <v>861</v>
      </c>
      <c r="H166" s="6" t="s">
        <v>862</v>
      </c>
      <c r="I166" s="6" t="s">
        <v>841</v>
      </c>
      <c r="J166" s="6" t="s">
        <v>842</v>
      </c>
      <c r="K166" s="6" t="s">
        <v>843</v>
      </c>
      <c r="L166" s="6" t="s">
        <v>816</v>
      </c>
      <c r="M166" s="6" t="s">
        <v>817</v>
      </c>
      <c r="N166" s="6" t="s">
        <v>817</v>
      </c>
      <c r="O166" s="6" t="s">
        <v>817</v>
      </c>
      <c r="P166" s="6" t="s">
        <v>817</v>
      </c>
      <c r="Q166" s="6" t="str">
        <f t="shared" si="6"/>
        <v>TA Teams</v>
      </c>
      <c r="R166" s="21" t="s">
        <v>1608</v>
      </c>
    </row>
    <row r="167" spans="1:18" s="6" customFormat="1" ht="25.5" x14ac:dyDescent="0.2">
      <c r="A167" s="3" t="str">
        <f t="shared" si="5"/>
        <v>F2EC_SUBPJ</v>
      </c>
      <c r="B167" s="6" t="s">
        <v>15</v>
      </c>
      <c r="C167" s="6" t="s">
        <v>561</v>
      </c>
      <c r="D167" s="6" t="s">
        <v>562</v>
      </c>
      <c r="E167" s="6" t="s">
        <v>504</v>
      </c>
      <c r="F167" s="6" t="s">
        <v>505</v>
      </c>
      <c r="G167" s="6" t="s">
        <v>508</v>
      </c>
      <c r="H167" s="6" t="s">
        <v>509</v>
      </c>
      <c r="I167" s="6" t="s">
        <v>507</v>
      </c>
      <c r="J167" s="6" t="s">
        <v>508</v>
      </c>
      <c r="K167" s="6" t="s">
        <v>509</v>
      </c>
      <c r="L167" s="6" t="s">
        <v>492</v>
      </c>
      <c r="M167" s="6" t="s">
        <v>493</v>
      </c>
      <c r="N167" s="6" t="s">
        <v>493</v>
      </c>
      <c r="O167" s="6" t="s">
        <v>510</v>
      </c>
      <c r="P167" s="6" t="s">
        <v>511</v>
      </c>
      <c r="Q167" s="6" t="str">
        <f t="shared" si="6"/>
        <v>Expert Cons.</v>
      </c>
      <c r="R167" s="21" t="s">
        <v>1518</v>
      </c>
    </row>
    <row r="168" spans="1:18" s="6" customFormat="1" x14ac:dyDescent="0.2">
      <c r="A168" s="3" t="str">
        <f t="shared" si="5"/>
        <v>LDLP_SUPIX</v>
      </c>
      <c r="B168" s="3" t="s">
        <v>15</v>
      </c>
      <c r="C168" s="3" t="s">
        <v>1652</v>
      </c>
      <c r="D168" s="31" t="s">
        <v>1653</v>
      </c>
      <c r="E168" s="31" t="s">
        <v>798</v>
      </c>
      <c r="F168" s="31" t="s">
        <v>783</v>
      </c>
      <c r="G168" s="3" t="s">
        <v>1654</v>
      </c>
      <c r="H168" s="3" t="s">
        <v>1655</v>
      </c>
      <c r="I168" s="31" t="s">
        <v>801</v>
      </c>
      <c r="J168" s="6" t="s">
        <v>803</v>
      </c>
      <c r="K168" s="6" t="s">
        <v>803</v>
      </c>
      <c r="L168" s="31" t="s">
        <v>789</v>
      </c>
      <c r="M168" s="6" t="s">
        <v>790</v>
      </c>
      <c r="N168" s="6" t="s">
        <v>791</v>
      </c>
      <c r="O168" s="6" t="s">
        <v>790</v>
      </c>
      <c r="P168" s="6" t="s">
        <v>791</v>
      </c>
      <c r="Q168" s="6" t="str">
        <f t="shared" si="6"/>
        <v>Global Partner Services &amp; Analysis</v>
      </c>
      <c r="R168" s="24" t="s">
        <v>1656</v>
      </c>
    </row>
    <row r="169" spans="1:18" s="6" customFormat="1" ht="38.25" x14ac:dyDescent="0.2">
      <c r="A169" s="3" t="str">
        <f t="shared" si="5"/>
        <v>THPR_SUBET</v>
      </c>
      <c r="B169" s="6" t="s">
        <v>15</v>
      </c>
      <c r="C169" s="6" t="s">
        <v>1014</v>
      </c>
      <c r="D169" s="6" t="s">
        <v>1015</v>
      </c>
      <c r="E169" s="6" t="s">
        <v>1016</v>
      </c>
      <c r="F169" s="6" t="s">
        <v>884</v>
      </c>
      <c r="G169" s="6" t="s">
        <v>1017</v>
      </c>
      <c r="H169" s="6" t="s">
        <v>1018</v>
      </c>
      <c r="I169" s="6" t="s">
        <v>1019</v>
      </c>
      <c r="J169" s="6" t="s">
        <v>1020</v>
      </c>
      <c r="K169" s="6" t="s">
        <v>1021</v>
      </c>
      <c r="L169" s="6" t="s">
        <v>887</v>
      </c>
      <c r="M169" s="6" t="s">
        <v>888</v>
      </c>
      <c r="N169" s="6" t="s">
        <v>889</v>
      </c>
      <c r="O169" s="6" t="s">
        <v>888</v>
      </c>
      <c r="P169" s="6" t="s">
        <v>889</v>
      </c>
      <c r="Q169" s="6" t="str">
        <f t="shared" si="6"/>
        <v>Staffing &amp; PM</v>
      </c>
      <c r="R169" s="21" t="s">
        <v>1651</v>
      </c>
    </row>
    <row r="170" spans="1:18" s="6" customFormat="1" x14ac:dyDescent="0.2">
      <c r="A170" s="3" t="str">
        <f t="shared" si="5"/>
        <v>WUCD_SUBBD</v>
      </c>
      <c r="B170" s="6" t="s">
        <v>23</v>
      </c>
      <c r="C170" s="7" t="s">
        <v>1180</v>
      </c>
      <c r="D170" s="7" t="s">
        <v>1407</v>
      </c>
      <c r="E170" s="7" t="s">
        <v>1181</v>
      </c>
      <c r="F170" s="7" t="s">
        <v>1156</v>
      </c>
      <c r="G170" s="7" t="s">
        <v>1409</v>
      </c>
      <c r="H170" s="7" t="s">
        <v>1408</v>
      </c>
      <c r="I170" s="7" t="s">
        <v>1182</v>
      </c>
      <c r="J170" s="7" t="s">
        <v>1183</v>
      </c>
      <c r="K170" s="7" t="s">
        <v>1183</v>
      </c>
      <c r="L170" s="6" t="s">
        <v>1158</v>
      </c>
      <c r="M170" s="6" t="s">
        <v>1159</v>
      </c>
      <c r="N170" s="6" t="s">
        <v>1160</v>
      </c>
      <c r="O170" s="6" t="s">
        <v>1159</v>
      </c>
      <c r="P170" s="6" t="s">
        <v>1160</v>
      </c>
      <c r="Q170" s="6" t="str">
        <f t="shared" si="6"/>
        <v>Expertise Delivery</v>
      </c>
      <c r="R170" s="21" t="s">
        <v>1520</v>
      </c>
    </row>
    <row r="171" spans="1:18" s="6" customFormat="1" x14ac:dyDescent="0.2">
      <c r="A171" s="3" t="str">
        <f t="shared" si="5"/>
        <v>WUCD_SUBHL</v>
      </c>
      <c r="B171" s="6" t="s">
        <v>15</v>
      </c>
      <c r="C171" s="6" t="s">
        <v>1418</v>
      </c>
      <c r="D171" s="6" t="s">
        <v>1407</v>
      </c>
      <c r="E171" s="6" t="s">
        <v>1181</v>
      </c>
      <c r="F171" s="6" t="s">
        <v>1156</v>
      </c>
      <c r="G171" s="6" t="s">
        <v>1409</v>
      </c>
      <c r="H171" s="6" t="s">
        <v>1408</v>
      </c>
      <c r="I171" s="6" t="s">
        <v>1182</v>
      </c>
      <c r="J171" s="6" t="s">
        <v>1183</v>
      </c>
      <c r="K171" s="6" t="s">
        <v>1183</v>
      </c>
      <c r="L171" s="6" t="s">
        <v>1158</v>
      </c>
      <c r="M171" s="6" t="s">
        <v>1159</v>
      </c>
      <c r="N171" s="6" t="s">
        <v>1160</v>
      </c>
      <c r="O171" s="6" t="s">
        <v>1159</v>
      </c>
      <c r="P171" s="6" t="s">
        <v>1160</v>
      </c>
      <c r="Q171" s="6" t="str">
        <f t="shared" si="6"/>
        <v>Expertise Delivery</v>
      </c>
      <c r="R171" s="21" t="s">
        <v>1568</v>
      </c>
    </row>
    <row r="172" spans="1:18" s="6" customFormat="1" x14ac:dyDescent="0.2">
      <c r="A172" s="3" t="str">
        <f t="shared" si="5"/>
        <v>F4LO_SUBFA</v>
      </c>
      <c r="B172" s="6" t="s">
        <v>15</v>
      </c>
      <c r="C172" s="6" t="s">
        <v>712</v>
      </c>
      <c r="D172" s="6" t="s">
        <v>713</v>
      </c>
      <c r="E172" s="6" t="s">
        <v>706</v>
      </c>
      <c r="F172" s="6" t="s">
        <v>680</v>
      </c>
      <c r="G172" s="6" t="s">
        <v>714</v>
      </c>
      <c r="H172" s="6" t="s">
        <v>714</v>
      </c>
      <c r="I172" s="6" t="s">
        <v>709</v>
      </c>
      <c r="J172" s="6" t="s">
        <v>710</v>
      </c>
      <c r="K172" s="6" t="s">
        <v>711</v>
      </c>
      <c r="L172" s="6" t="s">
        <v>686</v>
      </c>
      <c r="M172" s="6" t="s">
        <v>687</v>
      </c>
      <c r="N172" s="6" t="s">
        <v>688</v>
      </c>
      <c r="O172" s="6" t="s">
        <v>687</v>
      </c>
      <c r="P172" s="6" t="s">
        <v>688</v>
      </c>
      <c r="Q172" s="6" t="str">
        <f t="shared" si="6"/>
        <v>Local Ops</v>
      </c>
      <c r="R172" s="21"/>
    </row>
    <row r="173" spans="1:18" s="6" customFormat="1" x14ac:dyDescent="0.2">
      <c r="A173" s="3" t="str">
        <f t="shared" si="5"/>
        <v>F3XX_FIN</v>
      </c>
      <c r="B173" s="6" t="s">
        <v>23</v>
      </c>
      <c r="C173" s="6" t="s">
        <v>577</v>
      </c>
      <c r="D173" s="6" t="s">
        <v>578</v>
      </c>
      <c r="F173" s="6" t="s">
        <v>573</v>
      </c>
      <c r="G173" s="6" t="s">
        <v>578</v>
      </c>
      <c r="H173" s="6" t="s">
        <v>578</v>
      </c>
      <c r="I173" s="6" t="s">
        <v>18</v>
      </c>
      <c r="J173" s="6" t="s">
        <v>18</v>
      </c>
      <c r="K173" s="6" t="s">
        <v>18</v>
      </c>
      <c r="L173" s="6" t="s">
        <v>575</v>
      </c>
      <c r="M173" s="6" t="s">
        <v>576</v>
      </c>
      <c r="N173" s="6" t="s">
        <v>576</v>
      </c>
      <c r="O173" s="6" t="s">
        <v>576</v>
      </c>
      <c r="P173" s="6" t="s">
        <v>576</v>
      </c>
      <c r="Q173" s="6" t="str">
        <f t="shared" si="6"/>
        <v>Finance Other</v>
      </c>
      <c r="R173" s="21"/>
    </row>
    <row r="174" spans="1:18" s="6" customFormat="1" x14ac:dyDescent="0.2">
      <c r="A174" s="3" t="str">
        <f t="shared" si="5"/>
        <v>F2EC_SUBL5</v>
      </c>
      <c r="B174" s="6" t="s">
        <v>15</v>
      </c>
      <c r="C174" s="6" t="s">
        <v>518</v>
      </c>
      <c r="D174" s="6" t="s">
        <v>519</v>
      </c>
      <c r="E174" s="6" t="s">
        <v>504</v>
      </c>
      <c r="F174" s="6" t="s">
        <v>505</v>
      </c>
      <c r="G174" s="6" t="s">
        <v>1387</v>
      </c>
      <c r="H174" s="6" t="s">
        <v>520</v>
      </c>
      <c r="I174" s="6" t="s">
        <v>507</v>
      </c>
      <c r="J174" s="6" t="s">
        <v>508</v>
      </c>
      <c r="K174" s="6" t="s">
        <v>509</v>
      </c>
      <c r="L174" s="6" t="s">
        <v>492</v>
      </c>
      <c r="M174" s="6" t="s">
        <v>493</v>
      </c>
      <c r="N174" s="6" t="s">
        <v>493</v>
      </c>
      <c r="O174" s="6" t="s">
        <v>510</v>
      </c>
      <c r="P174" s="6" t="s">
        <v>511</v>
      </c>
      <c r="Q174" s="6" t="str">
        <f t="shared" si="6"/>
        <v>Expert Cons.</v>
      </c>
      <c r="R174" s="21"/>
    </row>
    <row r="175" spans="1:18" s="6" customFormat="1" x14ac:dyDescent="0.2">
      <c r="A175" s="3" t="str">
        <f t="shared" si="5"/>
        <v>F15SP_SUBD6</v>
      </c>
      <c r="B175" s="6" t="s">
        <v>15</v>
      </c>
      <c r="C175" s="6" t="s">
        <v>358</v>
      </c>
      <c r="D175" s="6" t="s">
        <v>359</v>
      </c>
      <c r="E175" s="6" t="s">
        <v>337</v>
      </c>
      <c r="F175" s="6" t="s">
        <v>314</v>
      </c>
      <c r="G175" s="6" t="s">
        <v>360</v>
      </c>
      <c r="H175" s="6" t="s">
        <v>361</v>
      </c>
      <c r="I175" s="6" t="s">
        <v>338</v>
      </c>
      <c r="J175" s="6" t="s">
        <v>339</v>
      </c>
      <c r="K175" s="6" t="s">
        <v>339</v>
      </c>
      <c r="L175" s="6" t="s">
        <v>317</v>
      </c>
      <c r="M175" s="6" t="s">
        <v>318</v>
      </c>
      <c r="N175" s="6" t="s">
        <v>319</v>
      </c>
      <c r="O175" s="6" t="s">
        <v>318</v>
      </c>
      <c r="P175" s="6" t="s">
        <v>319</v>
      </c>
      <c r="Q175" s="6" t="str">
        <f t="shared" si="6"/>
        <v>Practice Teams</v>
      </c>
      <c r="R175" s="21"/>
    </row>
    <row r="176" spans="1:18" s="6" customFormat="1" x14ac:dyDescent="0.2">
      <c r="A176" s="3" t="str">
        <f t="shared" si="5"/>
        <v>VFCW</v>
      </c>
      <c r="B176" s="6" t="s">
        <v>23</v>
      </c>
      <c r="C176" s="6" t="s">
        <v>1071</v>
      </c>
      <c r="D176" s="6" t="s">
        <v>1072</v>
      </c>
      <c r="F176" s="6" t="s">
        <v>1073</v>
      </c>
      <c r="G176" s="6" t="s">
        <v>1074</v>
      </c>
      <c r="H176" s="6" t="s">
        <v>1075</v>
      </c>
      <c r="I176" s="6" t="s">
        <v>18</v>
      </c>
      <c r="J176" s="6" t="s">
        <v>18</v>
      </c>
      <c r="K176" s="6" t="s">
        <v>18</v>
      </c>
      <c r="L176" s="6" t="s">
        <v>1076</v>
      </c>
      <c r="M176" s="6" t="s">
        <v>1077</v>
      </c>
      <c r="N176" s="6" t="s">
        <v>1078</v>
      </c>
      <c r="O176" s="6" t="s">
        <v>1077</v>
      </c>
      <c r="P176" s="6" t="s">
        <v>1078</v>
      </c>
      <c r="Q176" s="6" t="str">
        <f t="shared" si="6"/>
        <v>PE Service Line Other</v>
      </c>
      <c r="R176" s="21"/>
    </row>
    <row r="177" spans="1:18" s="6" customFormat="1" x14ac:dyDescent="0.2">
      <c r="A177" s="3" t="str">
        <f t="shared" si="5"/>
        <v>SLFR_SUBFO</v>
      </c>
      <c r="B177" s="6" t="s">
        <v>15</v>
      </c>
      <c r="C177" s="6" t="s">
        <v>880</v>
      </c>
      <c r="D177" s="6" t="s">
        <v>881</v>
      </c>
      <c r="E177" s="6" t="s">
        <v>875</v>
      </c>
      <c r="F177" s="6" t="s">
        <v>876</v>
      </c>
      <c r="G177" s="6" t="s">
        <v>872</v>
      </c>
      <c r="H177" s="6" t="s">
        <v>872</v>
      </c>
      <c r="I177" s="6" t="s">
        <v>879</v>
      </c>
      <c r="J177" s="6" t="s">
        <v>872</v>
      </c>
      <c r="K177" s="6" t="s">
        <v>872</v>
      </c>
      <c r="L177" s="6" t="s">
        <v>871</v>
      </c>
      <c r="M177" s="6" t="s">
        <v>1484</v>
      </c>
      <c r="N177" s="6" t="s">
        <v>1485</v>
      </c>
      <c r="O177" s="6" t="s">
        <v>872</v>
      </c>
      <c r="P177" s="6" t="s">
        <v>872</v>
      </c>
      <c r="Q177" s="6" t="str">
        <f t="shared" si="6"/>
        <v>FRWD</v>
      </c>
      <c r="R177" s="26" t="s">
        <v>1793</v>
      </c>
    </row>
    <row r="178" spans="1:18" s="6" customFormat="1" x14ac:dyDescent="0.2">
      <c r="A178" s="3" t="str">
        <f t="shared" si="5"/>
        <v>SLFR_SUBFM</v>
      </c>
      <c r="B178" s="6" t="s">
        <v>15</v>
      </c>
      <c r="C178" s="6" t="s">
        <v>873</v>
      </c>
      <c r="D178" s="6" t="s">
        <v>874</v>
      </c>
      <c r="E178" s="6" t="s">
        <v>875</v>
      </c>
      <c r="F178" s="6" t="s">
        <v>876</v>
      </c>
      <c r="G178" s="6" t="s">
        <v>877</v>
      </c>
      <c r="H178" s="6" t="s">
        <v>878</v>
      </c>
      <c r="I178" s="6" t="s">
        <v>879</v>
      </c>
      <c r="J178" s="6" t="s">
        <v>872</v>
      </c>
      <c r="K178" s="6" t="s">
        <v>872</v>
      </c>
      <c r="L178" s="6" t="s">
        <v>871</v>
      </c>
      <c r="M178" s="6" t="s">
        <v>1484</v>
      </c>
      <c r="N178" s="6" t="s">
        <v>1485</v>
      </c>
      <c r="O178" s="6" t="s">
        <v>872</v>
      </c>
      <c r="P178" s="6" t="s">
        <v>872</v>
      </c>
      <c r="Q178" s="6" t="str">
        <f t="shared" si="6"/>
        <v>FRWD</v>
      </c>
      <c r="R178" s="26" t="s">
        <v>1486</v>
      </c>
    </row>
    <row r="179" spans="1:18" s="6" customFormat="1" x14ac:dyDescent="0.2">
      <c r="A179" s="3" t="str">
        <f t="shared" si="5"/>
        <v>WUMN</v>
      </c>
      <c r="B179" s="6" t="s">
        <v>15</v>
      </c>
      <c r="C179" s="7" t="s">
        <v>1192</v>
      </c>
      <c r="D179" s="7" t="s">
        <v>1193</v>
      </c>
      <c r="F179" s="7" t="s">
        <v>1156</v>
      </c>
      <c r="G179" s="7" t="s">
        <v>1194</v>
      </c>
      <c r="H179" s="7" t="s">
        <v>1195</v>
      </c>
      <c r="L179" s="6" t="s">
        <v>1158</v>
      </c>
      <c r="M179" s="6" t="s">
        <v>1159</v>
      </c>
      <c r="N179" s="6" t="s">
        <v>1160</v>
      </c>
      <c r="O179" s="6" t="s">
        <v>1159</v>
      </c>
      <c r="P179" s="6" t="s">
        <v>1160</v>
      </c>
      <c r="Q179" s="6" t="str">
        <f t="shared" si="6"/>
        <v>Capability Delivery Other</v>
      </c>
      <c r="R179" s="21"/>
    </row>
    <row r="180" spans="1:18" s="6" customFormat="1" x14ac:dyDescent="0.2">
      <c r="A180" s="3" t="str">
        <f t="shared" si="5"/>
        <v>THGR_SUBDJ</v>
      </c>
      <c r="B180" s="6" t="s">
        <v>15</v>
      </c>
      <c r="C180" s="6" t="s">
        <v>926</v>
      </c>
      <c r="D180" s="6" t="s">
        <v>927</v>
      </c>
      <c r="E180" s="6" t="s">
        <v>921</v>
      </c>
      <c r="F180" s="6" t="s">
        <v>884</v>
      </c>
      <c r="G180" s="6" t="s">
        <v>928</v>
      </c>
      <c r="H180" s="6" t="s">
        <v>928</v>
      </c>
      <c r="I180" s="6" t="s">
        <v>923</v>
      </c>
      <c r="J180" s="6" t="s">
        <v>924</v>
      </c>
      <c r="K180" s="6" t="s">
        <v>925</v>
      </c>
      <c r="L180" s="6" t="s">
        <v>887</v>
      </c>
      <c r="M180" s="6" t="s">
        <v>888</v>
      </c>
      <c r="N180" s="6" t="s">
        <v>889</v>
      </c>
      <c r="O180" s="6" t="s">
        <v>888</v>
      </c>
      <c r="P180" s="6" t="s">
        <v>889</v>
      </c>
      <c r="Q180" s="6" t="str">
        <f t="shared" si="6"/>
        <v>HR &amp; Talent Mgmt.</v>
      </c>
      <c r="R180" s="21"/>
    </row>
    <row r="181" spans="1:18" s="6" customFormat="1" x14ac:dyDescent="0.2">
      <c r="A181" s="3" t="str">
        <f t="shared" si="5"/>
        <v>F15SP_SUBGK</v>
      </c>
      <c r="B181" s="6" t="s">
        <v>23</v>
      </c>
      <c r="C181" s="6" t="s">
        <v>387</v>
      </c>
      <c r="D181" s="6" t="s">
        <v>388</v>
      </c>
      <c r="E181" s="6" t="s">
        <v>337</v>
      </c>
      <c r="F181" s="6" t="s">
        <v>314</v>
      </c>
      <c r="G181" s="6" t="s">
        <v>389</v>
      </c>
      <c r="H181" s="6" t="s">
        <v>390</v>
      </c>
      <c r="I181" s="6" t="s">
        <v>338</v>
      </c>
      <c r="J181" s="6" t="s">
        <v>339</v>
      </c>
      <c r="K181" s="6" t="s">
        <v>339</v>
      </c>
      <c r="L181" s="6" t="s">
        <v>317</v>
      </c>
      <c r="M181" s="6" t="s">
        <v>318</v>
      </c>
      <c r="N181" s="6" t="s">
        <v>319</v>
      </c>
      <c r="O181" s="6" t="s">
        <v>318</v>
      </c>
      <c r="P181" s="6" t="s">
        <v>319</v>
      </c>
      <c r="Q181" s="6" t="str">
        <f t="shared" si="6"/>
        <v>Practice Teams</v>
      </c>
      <c r="R181" s="25" t="s">
        <v>1497</v>
      </c>
    </row>
    <row r="182" spans="1:18" s="6" customFormat="1" x14ac:dyDescent="0.2">
      <c r="A182" s="3" t="str">
        <f t="shared" si="5"/>
        <v>THMU_SUBGB</v>
      </c>
      <c r="B182" s="6" t="s">
        <v>15</v>
      </c>
      <c r="C182" s="6" t="s">
        <v>992</v>
      </c>
      <c r="D182" s="6" t="s">
        <v>993</v>
      </c>
      <c r="E182" s="6" t="s">
        <v>1447</v>
      </c>
      <c r="F182" s="6" t="s">
        <v>884</v>
      </c>
      <c r="G182" s="6" t="s">
        <v>994</v>
      </c>
      <c r="H182" s="6" t="s">
        <v>995</v>
      </c>
      <c r="I182" s="6" t="s">
        <v>1448</v>
      </c>
      <c r="J182" s="6" t="s">
        <v>1449</v>
      </c>
      <c r="K182" s="6" t="s">
        <v>1450</v>
      </c>
      <c r="L182" s="6" t="s">
        <v>887</v>
      </c>
      <c r="M182" s="6" t="s">
        <v>888</v>
      </c>
      <c r="N182" s="6" t="s">
        <v>889</v>
      </c>
      <c r="O182" s="6" t="s">
        <v>888</v>
      </c>
      <c r="P182" s="6" t="s">
        <v>889</v>
      </c>
      <c r="Q182" s="6" t="str">
        <f t="shared" si="6"/>
        <v>Comp, Benefits &amp; Mobility</v>
      </c>
      <c r="R182" s="21"/>
    </row>
    <row r="183" spans="1:18" s="6" customFormat="1" x14ac:dyDescent="0.2">
      <c r="A183" s="3" t="str">
        <f t="shared" si="5"/>
        <v>F4GO_SUBGE</v>
      </c>
      <c r="B183" s="6" t="s">
        <v>15</v>
      </c>
      <c r="C183" s="6" t="s">
        <v>695</v>
      </c>
      <c r="D183" s="6" t="s">
        <v>696</v>
      </c>
      <c r="E183" s="6" t="s">
        <v>679</v>
      </c>
      <c r="F183" s="6" t="s">
        <v>680</v>
      </c>
      <c r="G183" s="6" t="s">
        <v>697</v>
      </c>
      <c r="H183" s="6" t="s">
        <v>697</v>
      </c>
      <c r="I183" s="6" t="s">
        <v>683</v>
      </c>
      <c r="J183" s="6" t="s">
        <v>684</v>
      </c>
      <c r="K183" s="6" t="s">
        <v>685</v>
      </c>
      <c r="L183" s="6" t="s">
        <v>686</v>
      </c>
      <c r="M183" s="6" t="s">
        <v>687</v>
      </c>
      <c r="N183" s="6" t="s">
        <v>688</v>
      </c>
      <c r="O183" s="6" t="s">
        <v>687</v>
      </c>
      <c r="P183" s="6" t="s">
        <v>688</v>
      </c>
      <c r="Q183" s="6" t="str">
        <f t="shared" si="6"/>
        <v>Global Ops</v>
      </c>
      <c r="R183" s="21"/>
    </row>
    <row r="184" spans="1:18" s="6" customFormat="1" x14ac:dyDescent="0.2">
      <c r="A184" s="3" t="str">
        <f t="shared" si="5"/>
        <v>F15GC_SUBCZ</v>
      </c>
      <c r="B184" s="6" t="s">
        <v>15</v>
      </c>
      <c r="C184" s="6" t="s">
        <v>778</v>
      </c>
      <c r="D184" s="6" t="s">
        <v>779</v>
      </c>
      <c r="E184" s="6" t="s">
        <v>773</v>
      </c>
      <c r="F184" s="6" t="s">
        <v>314</v>
      </c>
      <c r="G184" s="6" t="s">
        <v>776</v>
      </c>
      <c r="H184" s="6" t="s">
        <v>777</v>
      </c>
      <c r="I184" s="6" t="s">
        <v>775</v>
      </c>
      <c r="J184" s="6" t="s">
        <v>776</v>
      </c>
      <c r="K184" s="6" t="s">
        <v>777</v>
      </c>
      <c r="L184" s="6" t="s">
        <v>317</v>
      </c>
      <c r="M184" s="6" t="s">
        <v>318</v>
      </c>
      <c r="N184" s="6" t="s">
        <v>319</v>
      </c>
      <c r="O184" s="6" t="s">
        <v>318</v>
      </c>
      <c r="P184" s="6" t="s">
        <v>319</v>
      </c>
      <c r="Q184" s="6" t="str">
        <f t="shared" si="6"/>
        <v>Commercial Ops</v>
      </c>
      <c r="R184" s="21"/>
    </row>
    <row r="185" spans="1:18" s="6" customFormat="1" x14ac:dyDescent="0.2">
      <c r="A185" s="3" t="str">
        <f t="shared" si="5"/>
        <v>THMU_SUBGJ</v>
      </c>
      <c r="B185" s="6" t="s">
        <v>15</v>
      </c>
      <c r="C185" s="6" t="s">
        <v>996</v>
      </c>
      <c r="D185" s="6" t="s">
        <v>997</v>
      </c>
      <c r="E185" s="6" t="s">
        <v>1447</v>
      </c>
      <c r="F185" s="6" t="s">
        <v>884</v>
      </c>
      <c r="G185" s="6" t="s">
        <v>998</v>
      </c>
      <c r="H185" s="6" t="s">
        <v>999</v>
      </c>
      <c r="I185" s="6" t="s">
        <v>1448</v>
      </c>
      <c r="J185" s="6" t="s">
        <v>1449</v>
      </c>
      <c r="K185" s="6" t="s">
        <v>1450</v>
      </c>
      <c r="L185" s="6" t="s">
        <v>887</v>
      </c>
      <c r="M185" s="6" t="s">
        <v>888</v>
      </c>
      <c r="N185" s="6" t="s">
        <v>889</v>
      </c>
      <c r="O185" s="6" t="s">
        <v>888</v>
      </c>
      <c r="P185" s="6" t="s">
        <v>889</v>
      </c>
      <c r="Q185" s="6" t="str">
        <f t="shared" si="6"/>
        <v>Comp, Benefits &amp; Mobility</v>
      </c>
      <c r="R185" s="21"/>
    </row>
    <row r="186" spans="1:18" s="6" customFormat="1" x14ac:dyDescent="0.2">
      <c r="A186" s="3" t="str">
        <f t="shared" si="5"/>
        <v>F7RK_SUBHD</v>
      </c>
      <c r="B186" s="6" t="s">
        <v>15</v>
      </c>
      <c r="C186" s="6" t="s">
        <v>1295</v>
      </c>
      <c r="D186" s="6" t="s">
        <v>1296</v>
      </c>
      <c r="E186" s="6" t="s">
        <v>1312</v>
      </c>
      <c r="F186" s="6" t="s">
        <v>720</v>
      </c>
      <c r="G186" s="6" t="s">
        <v>1317</v>
      </c>
      <c r="H186" s="6" t="s">
        <v>1317</v>
      </c>
      <c r="I186" s="6" t="s">
        <v>1303</v>
      </c>
      <c r="J186" s="6" t="s">
        <v>1317</v>
      </c>
      <c r="K186" s="6" t="s">
        <v>1317</v>
      </c>
      <c r="L186" s="6" t="s">
        <v>723</v>
      </c>
      <c r="M186" s="6" t="s">
        <v>724</v>
      </c>
      <c r="N186" s="6" t="s">
        <v>724</v>
      </c>
      <c r="O186" s="6" t="s">
        <v>724</v>
      </c>
      <c r="P186" s="6" t="s">
        <v>724</v>
      </c>
      <c r="Q186" s="6" t="str">
        <f t="shared" si="6"/>
        <v>Global Compliance</v>
      </c>
      <c r="R186" s="21"/>
    </row>
    <row r="187" spans="1:18" s="6" customFormat="1" x14ac:dyDescent="0.2">
      <c r="A187" s="3" t="str">
        <f t="shared" si="5"/>
        <v>THGT_SUBH6</v>
      </c>
      <c r="B187" s="6" t="s">
        <v>23</v>
      </c>
      <c r="C187" s="6" t="s">
        <v>1004</v>
      </c>
      <c r="D187" s="6" t="s">
        <v>1005</v>
      </c>
      <c r="E187" s="6" t="s">
        <v>977</v>
      </c>
      <c r="F187" s="6" t="s">
        <v>884</v>
      </c>
      <c r="G187" s="6" t="s">
        <v>1006</v>
      </c>
      <c r="H187" s="6" t="s">
        <v>1007</v>
      </c>
      <c r="I187" s="6" t="s">
        <v>980</v>
      </c>
      <c r="J187" s="6" t="s">
        <v>981</v>
      </c>
      <c r="K187" s="6" t="s">
        <v>982</v>
      </c>
      <c r="L187" s="6" t="s">
        <v>887</v>
      </c>
      <c r="M187" s="6" t="s">
        <v>888</v>
      </c>
      <c r="N187" s="6" t="s">
        <v>889</v>
      </c>
      <c r="O187" s="6" t="s">
        <v>888</v>
      </c>
      <c r="P187" s="6" t="s">
        <v>889</v>
      </c>
      <c r="Q187" s="6" t="str">
        <f t="shared" si="6"/>
        <v>Talent COE</v>
      </c>
      <c r="R187" s="21"/>
    </row>
    <row r="188" spans="1:18" s="6" customFormat="1" x14ac:dyDescent="0.2">
      <c r="A188" s="3" t="str">
        <f t="shared" si="5"/>
        <v>THGR_SUBH5</v>
      </c>
      <c r="B188" s="6" t="s">
        <v>23</v>
      </c>
      <c r="C188" s="6" t="s">
        <v>948</v>
      </c>
      <c r="D188" s="6" t="s">
        <v>949</v>
      </c>
      <c r="E188" s="6" t="s">
        <v>921</v>
      </c>
      <c r="F188" s="6" t="s">
        <v>884</v>
      </c>
      <c r="G188" s="6" t="s">
        <v>950</v>
      </c>
      <c r="H188" s="6" t="s">
        <v>951</v>
      </c>
      <c r="I188" s="6" t="s">
        <v>923</v>
      </c>
      <c r="J188" s="6" t="s">
        <v>924</v>
      </c>
      <c r="K188" s="6" t="s">
        <v>925</v>
      </c>
      <c r="L188" s="6" t="s">
        <v>887</v>
      </c>
      <c r="M188" s="6" t="s">
        <v>888</v>
      </c>
      <c r="N188" s="6" t="s">
        <v>889</v>
      </c>
      <c r="O188" s="6" t="s">
        <v>888</v>
      </c>
      <c r="P188" s="6" t="s">
        <v>889</v>
      </c>
      <c r="Q188" s="6" t="str">
        <f t="shared" si="6"/>
        <v>HR &amp; Talent Mgmt.</v>
      </c>
      <c r="R188" s="21"/>
    </row>
    <row r="189" spans="1:18" s="6" customFormat="1" x14ac:dyDescent="0.2">
      <c r="A189" s="3" t="str">
        <f t="shared" si="5"/>
        <v>THME_SUBVH</v>
      </c>
      <c r="B189" s="6" t="s">
        <v>15</v>
      </c>
      <c r="C189" s="6" t="s">
        <v>897</v>
      </c>
      <c r="D189" s="30" t="s">
        <v>1752</v>
      </c>
      <c r="E189" s="6" t="s">
        <v>1585</v>
      </c>
      <c r="F189" s="6" t="s">
        <v>884</v>
      </c>
      <c r="G189" s="6" t="s">
        <v>1755</v>
      </c>
      <c r="H189" s="6" t="s">
        <v>1755</v>
      </c>
      <c r="I189" s="20" t="s">
        <v>1588</v>
      </c>
      <c r="J189" s="6" t="s">
        <v>1589</v>
      </c>
      <c r="K189" s="6" t="s">
        <v>1590</v>
      </c>
      <c r="L189" s="6" t="s">
        <v>887</v>
      </c>
      <c r="M189" s="6" t="s">
        <v>888</v>
      </c>
      <c r="N189" s="6" t="s">
        <v>889</v>
      </c>
      <c r="O189" s="6" t="s">
        <v>888</v>
      </c>
      <c r="P189" s="6" t="s">
        <v>889</v>
      </c>
      <c r="Q189" s="6" t="str">
        <f t="shared" si="6"/>
        <v>Strategy &amp; Experience</v>
      </c>
      <c r="R189" s="21" t="s">
        <v>1744</v>
      </c>
    </row>
    <row r="190" spans="1:18" s="6" customFormat="1" x14ac:dyDescent="0.2">
      <c r="A190" s="3" t="str">
        <f t="shared" si="5"/>
        <v>LDLP_SUPPD</v>
      </c>
      <c r="B190" s="6" t="s">
        <v>15</v>
      </c>
      <c r="C190" s="6" t="s">
        <v>804</v>
      </c>
      <c r="D190" s="30" t="s">
        <v>1750</v>
      </c>
      <c r="E190" s="6" t="s">
        <v>798</v>
      </c>
      <c r="F190" s="6" t="s">
        <v>783</v>
      </c>
      <c r="G190" s="6" t="s">
        <v>1756</v>
      </c>
      <c r="H190" s="6" t="s">
        <v>1756</v>
      </c>
      <c r="I190" s="6" t="s">
        <v>801</v>
      </c>
      <c r="J190" s="6" t="s">
        <v>802</v>
      </c>
      <c r="K190" s="6" t="s">
        <v>803</v>
      </c>
      <c r="L190" s="6" t="s">
        <v>789</v>
      </c>
      <c r="M190" s="6" t="s">
        <v>790</v>
      </c>
      <c r="N190" s="6" t="s">
        <v>791</v>
      </c>
      <c r="O190" s="6" t="s">
        <v>790</v>
      </c>
      <c r="P190" s="6" t="s">
        <v>791</v>
      </c>
      <c r="Q190" s="6" t="str">
        <f t="shared" si="6"/>
        <v>Partner Services &amp; Analysis</v>
      </c>
      <c r="R190" s="21" t="s">
        <v>1631</v>
      </c>
    </row>
    <row r="191" spans="1:18" s="6" customFormat="1" x14ac:dyDescent="0.2">
      <c r="A191" s="3" t="str">
        <f t="shared" si="5"/>
        <v>LDLP_SUPVG</v>
      </c>
      <c r="B191" s="6" t="s">
        <v>23</v>
      </c>
      <c r="C191" s="6" t="s">
        <v>806</v>
      </c>
      <c r="D191" s="30" t="s">
        <v>1750</v>
      </c>
      <c r="E191" s="6" t="s">
        <v>798</v>
      </c>
      <c r="F191" s="6" t="s">
        <v>783</v>
      </c>
      <c r="G191" s="6" t="s">
        <v>1756</v>
      </c>
      <c r="H191" s="6" t="s">
        <v>1756</v>
      </c>
      <c r="I191" s="6" t="s">
        <v>801</v>
      </c>
      <c r="J191" s="6" t="s">
        <v>802</v>
      </c>
      <c r="K191" s="6" t="s">
        <v>803</v>
      </c>
      <c r="L191" s="6" t="s">
        <v>789</v>
      </c>
      <c r="M191" s="6" t="s">
        <v>790</v>
      </c>
      <c r="N191" s="6" t="s">
        <v>791</v>
      </c>
      <c r="O191" s="6" t="s">
        <v>790</v>
      </c>
      <c r="P191" s="6" t="s">
        <v>791</v>
      </c>
      <c r="Q191" s="6" t="str">
        <f t="shared" si="6"/>
        <v>Partner Services &amp; Analysis</v>
      </c>
      <c r="R191" s="21" t="s">
        <v>1632</v>
      </c>
    </row>
    <row r="192" spans="1:18" s="6" customFormat="1" ht="25.5" x14ac:dyDescent="0.2">
      <c r="A192" s="3" t="str">
        <f t="shared" si="5"/>
        <v>THER_SUBGQ</v>
      </c>
      <c r="B192" s="6" t="s">
        <v>15</v>
      </c>
      <c r="C192" s="6" t="s">
        <v>901</v>
      </c>
      <c r="D192" s="6" t="s">
        <v>902</v>
      </c>
      <c r="E192" s="6" t="s">
        <v>1489</v>
      </c>
      <c r="F192" s="6" t="s">
        <v>884</v>
      </c>
      <c r="G192" s="6" t="s">
        <v>904</v>
      </c>
      <c r="H192" s="6" t="s">
        <v>905</v>
      </c>
      <c r="I192" s="6" t="s">
        <v>906</v>
      </c>
      <c r="J192" s="6" t="s">
        <v>904</v>
      </c>
      <c r="K192" s="6" t="s">
        <v>905</v>
      </c>
      <c r="L192" s="6" t="s">
        <v>887</v>
      </c>
      <c r="M192" s="6" t="s">
        <v>888</v>
      </c>
      <c r="N192" s="6" t="s">
        <v>889</v>
      </c>
      <c r="O192" s="6" t="s">
        <v>888</v>
      </c>
      <c r="P192" s="6" t="s">
        <v>889</v>
      </c>
      <c r="Q192" s="6" t="str">
        <f t="shared" si="6"/>
        <v>ER</v>
      </c>
      <c r="R192" s="21" t="s">
        <v>1488</v>
      </c>
    </row>
    <row r="193" spans="1:18" s="6" customFormat="1" x14ac:dyDescent="0.2">
      <c r="A193" s="3" t="str">
        <f t="shared" si="5"/>
        <v>VECID_SUBGG</v>
      </c>
      <c r="B193" s="6" t="s">
        <v>23</v>
      </c>
      <c r="C193" s="6" t="s">
        <v>1066</v>
      </c>
      <c r="D193" s="6" t="s">
        <v>1067</v>
      </c>
      <c r="E193" s="6" t="s">
        <v>1053</v>
      </c>
      <c r="F193" s="6" t="s">
        <v>1028</v>
      </c>
      <c r="G193" s="6" t="s">
        <v>695</v>
      </c>
      <c r="H193" s="6" t="s">
        <v>1068</v>
      </c>
      <c r="I193" s="6" t="s">
        <v>1054</v>
      </c>
      <c r="J193" s="6" t="s">
        <v>1055</v>
      </c>
      <c r="K193" s="6" t="s">
        <v>1056</v>
      </c>
      <c r="L193" s="6" t="s">
        <v>1029</v>
      </c>
      <c r="M193" s="6" t="s">
        <v>1030</v>
      </c>
      <c r="N193" s="6" t="s">
        <v>1030</v>
      </c>
      <c r="O193" s="6" t="s">
        <v>1030</v>
      </c>
      <c r="P193" s="6" t="s">
        <v>1030</v>
      </c>
      <c r="Q193" s="6" t="str">
        <f t="shared" si="6"/>
        <v>I&amp;D</v>
      </c>
      <c r="R193" s="21"/>
    </row>
    <row r="194" spans="1:18" s="6" customFormat="1" x14ac:dyDescent="0.2">
      <c r="A194" s="3" t="str">
        <f t="shared" ref="A194:A257" si="7">_xlfn.CONCAT(L194,I194,C194)</f>
        <v>F4GO_SUBEG</v>
      </c>
      <c r="B194" s="6" t="s">
        <v>15</v>
      </c>
      <c r="C194" s="6" t="s">
        <v>689</v>
      </c>
      <c r="D194" s="6" t="s">
        <v>690</v>
      </c>
      <c r="E194" s="6" t="s">
        <v>679</v>
      </c>
      <c r="F194" s="6" t="s">
        <v>680</v>
      </c>
      <c r="G194" s="6" t="s">
        <v>691</v>
      </c>
      <c r="H194" s="6" t="s">
        <v>691</v>
      </c>
      <c r="I194" s="6" t="s">
        <v>683</v>
      </c>
      <c r="J194" s="6" t="s">
        <v>684</v>
      </c>
      <c r="K194" s="6" t="s">
        <v>685</v>
      </c>
      <c r="L194" s="6" t="s">
        <v>686</v>
      </c>
      <c r="M194" s="6" t="s">
        <v>687</v>
      </c>
      <c r="N194" s="6" t="s">
        <v>688</v>
      </c>
      <c r="O194" s="6" t="s">
        <v>687</v>
      </c>
      <c r="P194" s="6" t="s">
        <v>688</v>
      </c>
      <c r="Q194" s="6" t="str">
        <f t="shared" si="6"/>
        <v>Global Ops</v>
      </c>
      <c r="R194" s="21"/>
    </row>
    <row r="195" spans="1:18" s="6" customFormat="1" x14ac:dyDescent="0.2">
      <c r="A195" s="3" t="str">
        <f t="shared" si="7"/>
        <v>F3GF_SUBGA</v>
      </c>
      <c r="B195" s="6" t="s">
        <v>15</v>
      </c>
      <c r="C195" s="6" t="s">
        <v>622</v>
      </c>
      <c r="D195" s="6" t="s">
        <v>623</v>
      </c>
      <c r="E195" s="6" t="s">
        <v>597</v>
      </c>
      <c r="F195" s="6" t="s">
        <v>573</v>
      </c>
      <c r="G195" s="6" t="s">
        <v>624</v>
      </c>
      <c r="H195" s="6" t="s">
        <v>625</v>
      </c>
      <c r="I195" s="6" t="s">
        <v>600</v>
      </c>
      <c r="J195" s="6" t="s">
        <v>601</v>
      </c>
      <c r="K195" s="6" t="s">
        <v>601</v>
      </c>
      <c r="L195" s="6" t="s">
        <v>575</v>
      </c>
      <c r="M195" s="6" t="s">
        <v>576</v>
      </c>
      <c r="N195" s="6" t="s">
        <v>576</v>
      </c>
      <c r="O195" s="6" t="s">
        <v>576</v>
      </c>
      <c r="P195" s="6" t="s">
        <v>576</v>
      </c>
      <c r="Q195" s="6" t="str">
        <f t="shared" ref="Q195:Q229" si="8">IF(J195&lt;&gt;"",J195,_xlfn.CONCAT(O195," Other"))</f>
        <v>Global Finance</v>
      </c>
      <c r="R195" s="21"/>
    </row>
    <row r="196" spans="1:18" s="6" customFormat="1" x14ac:dyDescent="0.2">
      <c r="A196" s="3" t="str">
        <f t="shared" si="7"/>
        <v>F3GF_SUBGT</v>
      </c>
      <c r="B196" s="6" t="s">
        <v>15</v>
      </c>
      <c r="C196" s="6" t="s">
        <v>632</v>
      </c>
      <c r="D196" s="6" t="s">
        <v>633</v>
      </c>
      <c r="E196" s="6" t="s">
        <v>597</v>
      </c>
      <c r="F196" s="6" t="s">
        <v>573</v>
      </c>
      <c r="G196" s="6" t="s">
        <v>634</v>
      </c>
      <c r="H196" s="6" t="s">
        <v>635</v>
      </c>
      <c r="I196" s="6" t="s">
        <v>600</v>
      </c>
      <c r="J196" s="6" t="s">
        <v>601</v>
      </c>
      <c r="K196" s="6" t="s">
        <v>601</v>
      </c>
      <c r="L196" s="6" t="s">
        <v>575</v>
      </c>
      <c r="M196" s="6" t="s">
        <v>576</v>
      </c>
      <c r="N196" s="6" t="s">
        <v>576</v>
      </c>
      <c r="O196" s="6" t="s">
        <v>576</v>
      </c>
      <c r="P196" s="6" t="s">
        <v>576</v>
      </c>
      <c r="Q196" s="6" t="str">
        <f t="shared" si="8"/>
        <v>Global Finance</v>
      </c>
      <c r="R196" s="21"/>
    </row>
    <row r="197" spans="1:18" s="6" customFormat="1" x14ac:dyDescent="0.2">
      <c r="A197" s="3" t="str">
        <f t="shared" si="7"/>
        <v>F3GF_SUBGS</v>
      </c>
      <c r="B197" s="6" t="s">
        <v>23</v>
      </c>
      <c r="C197" s="6" t="s">
        <v>629</v>
      </c>
      <c r="D197" s="6" t="s">
        <v>630</v>
      </c>
      <c r="E197" s="6" t="s">
        <v>597</v>
      </c>
      <c r="F197" s="6" t="s">
        <v>573</v>
      </c>
      <c r="G197" s="6" t="s">
        <v>631</v>
      </c>
      <c r="H197" s="6" t="s">
        <v>631</v>
      </c>
      <c r="I197" s="6" t="s">
        <v>600</v>
      </c>
      <c r="J197" s="6" t="s">
        <v>601</v>
      </c>
      <c r="K197" s="6" t="s">
        <v>601</v>
      </c>
      <c r="L197" s="6" t="s">
        <v>575</v>
      </c>
      <c r="M197" s="6" t="s">
        <v>576</v>
      </c>
      <c r="N197" s="6" t="s">
        <v>576</v>
      </c>
      <c r="O197" s="6" t="s">
        <v>576</v>
      </c>
      <c r="P197" s="6" t="s">
        <v>576</v>
      </c>
      <c r="Q197" s="6" t="str">
        <f t="shared" si="8"/>
        <v>Global Finance</v>
      </c>
      <c r="R197" s="21"/>
    </row>
    <row r="198" spans="1:18" s="6" customFormat="1" x14ac:dyDescent="0.2">
      <c r="A198" s="3" t="str">
        <f t="shared" si="7"/>
        <v>THGR_SUBGR</v>
      </c>
      <c r="B198" s="6" t="s">
        <v>23</v>
      </c>
      <c r="C198" s="6" t="s">
        <v>932</v>
      </c>
      <c r="D198" s="6" t="s">
        <v>933</v>
      </c>
      <c r="E198" s="6" t="s">
        <v>921</v>
      </c>
      <c r="F198" s="6" t="s">
        <v>884</v>
      </c>
      <c r="G198" s="6" t="s">
        <v>934</v>
      </c>
      <c r="H198" s="6" t="s">
        <v>935</v>
      </c>
      <c r="I198" s="6" t="s">
        <v>923</v>
      </c>
      <c r="J198" s="6" t="s">
        <v>924</v>
      </c>
      <c r="K198" s="6" t="s">
        <v>925</v>
      </c>
      <c r="L198" s="6" t="s">
        <v>887</v>
      </c>
      <c r="M198" s="6" t="s">
        <v>888</v>
      </c>
      <c r="N198" s="6" t="s">
        <v>889</v>
      </c>
      <c r="O198" s="6" t="s">
        <v>888</v>
      </c>
      <c r="P198" s="6" t="s">
        <v>889</v>
      </c>
      <c r="Q198" s="6" t="str">
        <f t="shared" si="8"/>
        <v>HR &amp; Talent Mgmt.</v>
      </c>
      <c r="R198" s="21"/>
    </row>
    <row r="199" spans="1:18" s="6" customFormat="1" x14ac:dyDescent="0.2">
      <c r="A199" s="3" t="str">
        <f t="shared" si="7"/>
        <v>THGR_SUBH2</v>
      </c>
      <c r="B199" s="6" t="s">
        <v>23</v>
      </c>
      <c r="C199" s="6" t="s">
        <v>940</v>
      </c>
      <c r="D199" s="6" t="s">
        <v>941</v>
      </c>
      <c r="E199" s="6" t="s">
        <v>921</v>
      </c>
      <c r="F199" s="6" t="s">
        <v>884</v>
      </c>
      <c r="G199" s="6" t="s">
        <v>942</v>
      </c>
      <c r="H199" s="6" t="s">
        <v>943</v>
      </c>
      <c r="I199" s="6" t="s">
        <v>923</v>
      </c>
      <c r="J199" s="6" t="s">
        <v>924</v>
      </c>
      <c r="K199" s="6" t="s">
        <v>925</v>
      </c>
      <c r="L199" s="6" t="s">
        <v>887</v>
      </c>
      <c r="M199" s="6" t="s">
        <v>888</v>
      </c>
      <c r="N199" s="6" t="s">
        <v>889</v>
      </c>
      <c r="O199" s="6" t="s">
        <v>888</v>
      </c>
      <c r="P199" s="6" t="s">
        <v>889</v>
      </c>
      <c r="Q199" s="6" t="str">
        <f t="shared" si="8"/>
        <v>HR &amp; Talent Mgmt.</v>
      </c>
      <c r="R199" s="21"/>
    </row>
    <row r="200" spans="1:18" s="6" customFormat="1" x14ac:dyDescent="0.2">
      <c r="A200" s="3" t="str">
        <f t="shared" si="7"/>
        <v>GDMS_SUBHZ</v>
      </c>
      <c r="B200" s="6" t="s">
        <v>15</v>
      </c>
      <c r="C200" s="7" t="s">
        <v>1577</v>
      </c>
      <c r="D200" s="20" t="s">
        <v>1578</v>
      </c>
      <c r="E200" s="20" t="s">
        <v>1425</v>
      </c>
      <c r="F200" s="20" t="s">
        <v>756</v>
      </c>
      <c r="G200" s="6" t="s">
        <v>1579</v>
      </c>
      <c r="H200" s="20" t="s">
        <v>1580</v>
      </c>
      <c r="I200" s="20" t="s">
        <v>1426</v>
      </c>
      <c r="J200" s="6" t="s">
        <v>1428</v>
      </c>
      <c r="K200" s="6" t="s">
        <v>1427</v>
      </c>
      <c r="L200" s="20" t="s">
        <v>758</v>
      </c>
      <c r="M200" s="6" t="s">
        <v>759</v>
      </c>
      <c r="N200" s="6" t="s">
        <v>760</v>
      </c>
      <c r="O200" s="6" t="s">
        <v>759</v>
      </c>
      <c r="P200" s="6" t="s">
        <v>760</v>
      </c>
      <c r="Q200" s="6" t="str">
        <f t="shared" si="8"/>
        <v>Risk, Safety &amp; Security</v>
      </c>
      <c r="R200" s="21"/>
    </row>
    <row r="201" spans="1:18" s="6" customFormat="1" x14ac:dyDescent="0.2">
      <c r="A201" s="3" t="str">
        <f t="shared" si="7"/>
        <v>F10CD</v>
      </c>
      <c r="B201" s="6" t="s">
        <v>15</v>
      </c>
      <c r="C201" s="6" t="s">
        <v>200</v>
      </c>
      <c r="D201" s="6" t="s">
        <v>201</v>
      </c>
      <c r="F201" s="6" t="s">
        <v>189</v>
      </c>
      <c r="G201" s="6" t="s">
        <v>202</v>
      </c>
      <c r="H201" s="6" t="s">
        <v>202</v>
      </c>
      <c r="I201" s="6" t="s">
        <v>18</v>
      </c>
      <c r="J201" s="6" t="s">
        <v>18</v>
      </c>
      <c r="K201" s="6" t="s">
        <v>18</v>
      </c>
      <c r="L201" s="6" t="s">
        <v>191</v>
      </c>
      <c r="M201" s="6" t="s">
        <v>192</v>
      </c>
      <c r="N201" s="6" t="s">
        <v>192</v>
      </c>
      <c r="O201" s="6" t="s">
        <v>192</v>
      </c>
      <c r="P201" s="6" t="s">
        <v>192</v>
      </c>
      <c r="Q201" s="6" t="str">
        <f t="shared" si="8"/>
        <v>Marketing Other</v>
      </c>
      <c r="R201" s="21"/>
    </row>
    <row r="202" spans="1:18" s="6" customFormat="1" x14ac:dyDescent="0.2">
      <c r="A202" s="3" t="str">
        <f t="shared" si="7"/>
        <v>F3GF_SUBAM</v>
      </c>
      <c r="B202" s="6" t="s">
        <v>15</v>
      </c>
      <c r="C202" s="6" t="s">
        <v>677</v>
      </c>
      <c r="D202" s="6" t="s">
        <v>678</v>
      </c>
      <c r="E202" s="6" t="s">
        <v>597</v>
      </c>
      <c r="F202" s="6" t="s">
        <v>573</v>
      </c>
      <c r="G202" s="6" t="s">
        <v>681</v>
      </c>
      <c r="H202" s="6" t="s">
        <v>682</v>
      </c>
      <c r="I202" s="6" t="s">
        <v>600</v>
      </c>
      <c r="J202" s="6" t="s">
        <v>601</v>
      </c>
      <c r="K202" s="6" t="s">
        <v>601</v>
      </c>
      <c r="L202" s="6" t="s">
        <v>575</v>
      </c>
      <c r="M202" s="6" t="s">
        <v>576</v>
      </c>
      <c r="N202" s="6" t="s">
        <v>576</v>
      </c>
      <c r="O202" s="6" t="s">
        <v>576</v>
      </c>
      <c r="P202" s="6" t="s">
        <v>576</v>
      </c>
      <c r="Q202" s="6" t="str">
        <f t="shared" si="8"/>
        <v>Global Finance</v>
      </c>
      <c r="R202" s="21" t="s">
        <v>1544</v>
      </c>
    </row>
    <row r="203" spans="1:18" s="6" customFormat="1" x14ac:dyDescent="0.2">
      <c r="A203" s="3" t="str">
        <f t="shared" si="7"/>
        <v>THMU_SUBGU</v>
      </c>
      <c r="B203" s="6" t="s">
        <v>15</v>
      </c>
      <c r="C203" s="6" t="s">
        <v>1000</v>
      </c>
      <c r="D203" s="6" t="s">
        <v>1001</v>
      </c>
      <c r="E203" s="6" t="s">
        <v>1447</v>
      </c>
      <c r="F203" s="6" t="s">
        <v>884</v>
      </c>
      <c r="G203" s="6" t="s">
        <v>1002</v>
      </c>
      <c r="H203" s="6" t="s">
        <v>1003</v>
      </c>
      <c r="I203" s="6" t="s">
        <v>1448</v>
      </c>
      <c r="J203" s="6" t="s">
        <v>1449</v>
      </c>
      <c r="K203" s="6" t="s">
        <v>1450</v>
      </c>
      <c r="L203" s="6" t="s">
        <v>887</v>
      </c>
      <c r="M203" s="6" t="s">
        <v>888</v>
      </c>
      <c r="N203" s="6" t="s">
        <v>889</v>
      </c>
      <c r="O203" s="6" t="s">
        <v>888</v>
      </c>
      <c r="P203" s="6" t="s">
        <v>889</v>
      </c>
      <c r="Q203" s="6" t="str">
        <f t="shared" si="8"/>
        <v>Comp, Benefits &amp; Mobility</v>
      </c>
      <c r="R203" s="21"/>
    </row>
    <row r="204" spans="1:18" s="6" customFormat="1" x14ac:dyDescent="0.2">
      <c r="A204" s="3" t="str">
        <f t="shared" si="7"/>
        <v>THGR_SUBH3</v>
      </c>
      <c r="B204" s="6" t="s">
        <v>23</v>
      </c>
      <c r="C204" s="6" t="s">
        <v>944</v>
      </c>
      <c r="D204" s="6" t="s">
        <v>945</v>
      </c>
      <c r="E204" s="6" t="s">
        <v>921</v>
      </c>
      <c r="F204" s="6" t="s">
        <v>884</v>
      </c>
      <c r="G204" s="6" t="s">
        <v>946</v>
      </c>
      <c r="H204" s="6" t="s">
        <v>947</v>
      </c>
      <c r="I204" s="6" t="s">
        <v>923</v>
      </c>
      <c r="J204" s="6" t="s">
        <v>924</v>
      </c>
      <c r="K204" s="6" t="s">
        <v>925</v>
      </c>
      <c r="L204" s="6" t="s">
        <v>887</v>
      </c>
      <c r="M204" s="6" t="s">
        <v>888</v>
      </c>
      <c r="N204" s="6" t="s">
        <v>889</v>
      </c>
      <c r="O204" s="6" t="s">
        <v>888</v>
      </c>
      <c r="P204" s="6" t="s">
        <v>889</v>
      </c>
      <c r="Q204" s="6" t="str">
        <f t="shared" si="8"/>
        <v>HR &amp; Talent Mgmt.</v>
      </c>
      <c r="R204" s="21"/>
    </row>
    <row r="205" spans="1:18" s="6" customFormat="1" x14ac:dyDescent="0.2">
      <c r="A205" s="3" t="str">
        <f t="shared" si="7"/>
        <v>LDLP_SUPXC</v>
      </c>
      <c r="B205" s="6" t="s">
        <v>15</v>
      </c>
      <c r="C205" s="6" t="s">
        <v>808</v>
      </c>
      <c r="D205" s="6" t="s">
        <v>809</v>
      </c>
      <c r="E205" s="6" t="s">
        <v>798</v>
      </c>
      <c r="F205" s="6" t="s">
        <v>783</v>
      </c>
      <c r="G205" s="6" t="s">
        <v>810</v>
      </c>
      <c r="H205" s="6" t="s">
        <v>810</v>
      </c>
      <c r="I205" s="6" t="s">
        <v>801</v>
      </c>
      <c r="J205" s="6" t="s">
        <v>802</v>
      </c>
      <c r="K205" s="6" t="s">
        <v>803</v>
      </c>
      <c r="L205" s="6" t="s">
        <v>789</v>
      </c>
      <c r="M205" s="6" t="s">
        <v>790</v>
      </c>
      <c r="N205" s="6" t="s">
        <v>791</v>
      </c>
      <c r="O205" s="6" t="s">
        <v>790</v>
      </c>
      <c r="P205" s="6" t="s">
        <v>791</v>
      </c>
      <c r="Q205" s="6" t="str">
        <f t="shared" si="8"/>
        <v>Partner Services &amp; Analysis</v>
      </c>
      <c r="R205" s="21"/>
    </row>
    <row r="206" spans="1:18" s="6" customFormat="1" x14ac:dyDescent="0.2">
      <c r="A206" s="3" t="str">
        <f t="shared" si="7"/>
        <v>F4GO_SUBXX_GO</v>
      </c>
      <c r="B206" s="6" t="s">
        <v>23</v>
      </c>
      <c r="C206" s="6" t="s">
        <v>701</v>
      </c>
      <c r="D206" s="6" t="s">
        <v>702</v>
      </c>
      <c r="E206" s="6" t="s">
        <v>679</v>
      </c>
      <c r="F206" s="6" t="s">
        <v>680</v>
      </c>
      <c r="G206" s="6" t="s">
        <v>703</v>
      </c>
      <c r="H206" s="6" t="s">
        <v>702</v>
      </c>
      <c r="I206" s="6" t="s">
        <v>683</v>
      </c>
      <c r="J206" s="6" t="s">
        <v>684</v>
      </c>
      <c r="K206" s="6" t="s">
        <v>685</v>
      </c>
      <c r="L206" s="6" t="s">
        <v>686</v>
      </c>
      <c r="M206" s="6" t="s">
        <v>687</v>
      </c>
      <c r="N206" s="6" t="s">
        <v>688</v>
      </c>
      <c r="O206" s="6" t="s">
        <v>687</v>
      </c>
      <c r="P206" s="6" t="s">
        <v>688</v>
      </c>
      <c r="Q206" s="6" t="str">
        <f t="shared" si="8"/>
        <v>Global Ops</v>
      </c>
      <c r="R206" s="21"/>
    </row>
    <row r="207" spans="1:18" s="6" customFormat="1" x14ac:dyDescent="0.2">
      <c r="A207" s="3" t="str">
        <f t="shared" si="7"/>
        <v>F15SP_SUBSR</v>
      </c>
      <c r="B207" s="6" t="s">
        <v>15</v>
      </c>
      <c r="C207" s="6" t="s">
        <v>422</v>
      </c>
      <c r="D207" s="30" t="s">
        <v>1751</v>
      </c>
      <c r="E207" s="6" t="s">
        <v>337</v>
      </c>
      <c r="F207" s="6" t="s">
        <v>314</v>
      </c>
      <c r="G207" s="6" t="s">
        <v>1757</v>
      </c>
      <c r="H207" s="6" t="s">
        <v>1757</v>
      </c>
      <c r="I207" s="6" t="s">
        <v>338</v>
      </c>
      <c r="J207" s="6" t="s">
        <v>339</v>
      </c>
      <c r="K207" s="6" t="s">
        <v>339</v>
      </c>
      <c r="L207" s="6" t="s">
        <v>317</v>
      </c>
      <c r="M207" s="6" t="s">
        <v>318</v>
      </c>
      <c r="N207" s="6" t="s">
        <v>319</v>
      </c>
      <c r="O207" s="6" t="s">
        <v>318</v>
      </c>
      <c r="P207" s="6" t="s">
        <v>319</v>
      </c>
      <c r="Q207" s="6" t="str">
        <f t="shared" si="8"/>
        <v>Practice Teams</v>
      </c>
      <c r="R207" s="21" t="s">
        <v>1623</v>
      </c>
    </row>
    <row r="208" spans="1:18" s="6" customFormat="1" x14ac:dyDescent="0.2">
      <c r="A208" s="3" t="str">
        <f t="shared" si="7"/>
        <v>F15SP_SUBE7</v>
      </c>
      <c r="B208" s="6" t="s">
        <v>23</v>
      </c>
      <c r="C208" s="6" t="s">
        <v>385</v>
      </c>
      <c r="D208" s="30" t="s">
        <v>1751</v>
      </c>
      <c r="E208" s="6" t="s">
        <v>337</v>
      </c>
      <c r="F208" s="6" t="s">
        <v>314</v>
      </c>
      <c r="G208" s="6" t="s">
        <v>1757</v>
      </c>
      <c r="H208" s="6" t="s">
        <v>1757</v>
      </c>
      <c r="I208" s="6" t="s">
        <v>338</v>
      </c>
      <c r="J208" s="6" t="s">
        <v>339</v>
      </c>
      <c r="K208" s="6" t="s">
        <v>339</v>
      </c>
      <c r="L208" s="6" t="s">
        <v>317</v>
      </c>
      <c r="M208" s="6" t="s">
        <v>318</v>
      </c>
      <c r="N208" s="6" t="s">
        <v>319</v>
      </c>
      <c r="O208" s="6" t="s">
        <v>318</v>
      </c>
      <c r="P208" s="6" t="s">
        <v>319</v>
      </c>
      <c r="Q208" s="6" t="str">
        <f t="shared" si="8"/>
        <v>Practice Teams</v>
      </c>
      <c r="R208" s="21" t="s">
        <v>1500</v>
      </c>
    </row>
    <row r="209" spans="1:18" s="6" customFormat="1" x14ac:dyDescent="0.2">
      <c r="A209" s="3" t="str">
        <f t="shared" si="7"/>
        <v>LDLP_SUPH4</v>
      </c>
      <c r="B209" s="6" t="s">
        <v>15</v>
      </c>
      <c r="C209" s="6" t="s">
        <v>796</v>
      </c>
      <c r="D209" s="6" t="s">
        <v>797</v>
      </c>
      <c r="E209" s="6" t="s">
        <v>798</v>
      </c>
      <c r="F209" s="6" t="s">
        <v>783</v>
      </c>
      <c r="G209" s="6" t="s">
        <v>799</v>
      </c>
      <c r="H209" s="6" t="s">
        <v>800</v>
      </c>
      <c r="I209" s="6" t="s">
        <v>801</v>
      </c>
      <c r="J209" s="6" t="s">
        <v>802</v>
      </c>
      <c r="K209" s="6" t="s">
        <v>803</v>
      </c>
      <c r="L209" s="6" t="s">
        <v>789</v>
      </c>
      <c r="M209" s="6" t="s">
        <v>790</v>
      </c>
      <c r="N209" s="6" t="s">
        <v>791</v>
      </c>
      <c r="O209" s="6" t="s">
        <v>790</v>
      </c>
      <c r="P209" s="6" t="s">
        <v>791</v>
      </c>
      <c r="Q209" s="6" t="str">
        <f t="shared" si="8"/>
        <v>Partner Services &amp; Analysis</v>
      </c>
      <c r="R209" s="21"/>
    </row>
    <row r="210" spans="1:18" s="6" customFormat="1" x14ac:dyDescent="0.2">
      <c r="A210" s="3" t="str">
        <f t="shared" si="7"/>
        <v>F3GF_SUBGY</v>
      </c>
      <c r="B210" s="6" t="s">
        <v>15</v>
      </c>
      <c r="C210" s="6" t="s">
        <v>639</v>
      </c>
      <c r="D210" s="6" t="s">
        <v>640</v>
      </c>
      <c r="E210" s="6" t="s">
        <v>597</v>
      </c>
      <c r="F210" s="6" t="s">
        <v>573</v>
      </c>
      <c r="G210" s="6" t="s">
        <v>641</v>
      </c>
      <c r="H210" s="6" t="s">
        <v>641</v>
      </c>
      <c r="I210" s="6" t="s">
        <v>600</v>
      </c>
      <c r="J210" s="6" t="s">
        <v>601</v>
      </c>
      <c r="K210" s="6" t="s">
        <v>601</v>
      </c>
      <c r="L210" s="6" t="s">
        <v>575</v>
      </c>
      <c r="M210" s="6" t="s">
        <v>576</v>
      </c>
      <c r="N210" s="6" t="s">
        <v>576</v>
      </c>
      <c r="O210" s="6" t="s">
        <v>576</v>
      </c>
      <c r="P210" s="6" t="s">
        <v>576</v>
      </c>
      <c r="Q210" s="6" t="str">
        <f t="shared" si="8"/>
        <v>Global Finance</v>
      </c>
      <c r="R210" s="21"/>
    </row>
    <row r="211" spans="1:18" s="6" customFormat="1" x14ac:dyDescent="0.2">
      <c r="A211" s="3" t="str">
        <f t="shared" si="7"/>
        <v>THME_SUBDN</v>
      </c>
      <c r="B211" s="6" t="s">
        <v>15</v>
      </c>
      <c r="C211" s="6" t="s">
        <v>975</v>
      </c>
      <c r="D211" s="6" t="s">
        <v>976</v>
      </c>
      <c r="E211" s="6" t="s">
        <v>1585</v>
      </c>
      <c r="F211" s="6" t="s">
        <v>884</v>
      </c>
      <c r="G211" s="6" t="s">
        <v>978</v>
      </c>
      <c r="H211" s="6" t="s">
        <v>979</v>
      </c>
      <c r="I211" s="20" t="s">
        <v>1588</v>
      </c>
      <c r="J211" s="6" t="s">
        <v>1589</v>
      </c>
      <c r="K211" s="6" t="s">
        <v>1590</v>
      </c>
      <c r="L211" s="6" t="s">
        <v>887</v>
      </c>
      <c r="M211" s="6" t="s">
        <v>888</v>
      </c>
      <c r="N211" s="6" t="s">
        <v>889</v>
      </c>
      <c r="O211" s="6" t="s">
        <v>888</v>
      </c>
      <c r="P211" s="6" t="s">
        <v>889</v>
      </c>
      <c r="Q211" s="6" t="str">
        <f t="shared" si="8"/>
        <v>Strategy &amp; Experience</v>
      </c>
      <c r="R211" s="21"/>
    </row>
    <row r="212" spans="1:18" s="6" customFormat="1" x14ac:dyDescent="0.2">
      <c r="A212" s="3" t="str">
        <f t="shared" si="7"/>
        <v>VFSQ_SUBWA</v>
      </c>
      <c r="B212" s="6" t="s">
        <v>15</v>
      </c>
      <c r="C212" s="6" t="s">
        <v>1092</v>
      </c>
      <c r="D212" s="6" t="s">
        <v>1093</v>
      </c>
      <c r="E212" s="6" t="s">
        <v>1094</v>
      </c>
      <c r="F212" s="6" t="s">
        <v>1073</v>
      </c>
      <c r="G212" s="6" t="s">
        <v>1095</v>
      </c>
      <c r="H212" s="6" t="s">
        <v>1095</v>
      </c>
      <c r="I212" s="6" t="s">
        <v>1096</v>
      </c>
      <c r="J212" s="6" t="s">
        <v>1097</v>
      </c>
      <c r="K212" s="6" t="s">
        <v>1098</v>
      </c>
      <c r="L212" s="6" t="s">
        <v>1076</v>
      </c>
      <c r="M212" s="6" t="s">
        <v>1077</v>
      </c>
      <c r="N212" s="6" t="s">
        <v>1078</v>
      </c>
      <c r="O212" s="6" t="s">
        <v>1077</v>
      </c>
      <c r="P212" s="6" t="s">
        <v>1078</v>
      </c>
      <c r="Q212" s="6" t="str">
        <f t="shared" si="8"/>
        <v>PE Strategy, Ops, Talent</v>
      </c>
      <c r="R212" s="21"/>
    </row>
    <row r="213" spans="1:18" s="6" customFormat="1" x14ac:dyDescent="0.2">
      <c r="A213" s="3" t="str">
        <f t="shared" si="7"/>
        <v>THME_SUBPZ</v>
      </c>
      <c r="B213" s="6" t="s">
        <v>15</v>
      </c>
      <c r="C213" s="6" t="s">
        <v>1008</v>
      </c>
      <c r="D213" s="6" t="s">
        <v>1009</v>
      </c>
      <c r="E213" s="6" t="s">
        <v>1585</v>
      </c>
      <c r="F213" s="6" t="s">
        <v>884</v>
      </c>
      <c r="G213" s="6" t="s">
        <v>1010</v>
      </c>
      <c r="H213" s="6" t="s">
        <v>1011</v>
      </c>
      <c r="I213" s="20" t="s">
        <v>1588</v>
      </c>
      <c r="J213" s="6" t="s">
        <v>1589</v>
      </c>
      <c r="K213" s="6" t="s">
        <v>1590</v>
      </c>
      <c r="L213" s="6" t="s">
        <v>887</v>
      </c>
      <c r="M213" s="6" t="s">
        <v>888</v>
      </c>
      <c r="N213" s="6" t="s">
        <v>889</v>
      </c>
      <c r="O213" s="6" t="s">
        <v>888</v>
      </c>
      <c r="P213" s="6" t="s">
        <v>889</v>
      </c>
      <c r="Q213" s="6" t="str">
        <f t="shared" si="8"/>
        <v>Strategy &amp; Experience</v>
      </c>
      <c r="R213" s="21"/>
    </row>
    <row r="214" spans="1:18" s="6" customFormat="1" x14ac:dyDescent="0.2">
      <c r="A214" s="3" t="str">
        <f t="shared" si="7"/>
        <v>F15PP_SUBHB</v>
      </c>
      <c r="B214" s="6" t="s">
        <v>15</v>
      </c>
      <c r="C214" s="6" t="s">
        <v>1255</v>
      </c>
      <c r="D214" s="6" t="s">
        <v>1256</v>
      </c>
      <c r="E214" s="6" t="s">
        <v>324</v>
      </c>
      <c r="F214" s="6" t="s">
        <v>314</v>
      </c>
      <c r="G214" s="6" t="s">
        <v>1368</v>
      </c>
      <c r="H214" s="6" t="s">
        <v>1368</v>
      </c>
      <c r="I214" s="6" t="s">
        <v>325</v>
      </c>
      <c r="J214" s="6" t="s">
        <v>326</v>
      </c>
      <c r="K214" s="6" t="s">
        <v>326</v>
      </c>
      <c r="L214" s="6" t="s">
        <v>317</v>
      </c>
      <c r="M214" s="6" t="s">
        <v>318</v>
      </c>
      <c r="N214" s="6" t="s">
        <v>319</v>
      </c>
      <c r="O214" s="6" t="s">
        <v>318</v>
      </c>
      <c r="P214" s="6" t="s">
        <v>319</v>
      </c>
      <c r="Q214" s="6" t="str">
        <f t="shared" si="8"/>
        <v>PPK Program Office</v>
      </c>
      <c r="R214" s="21"/>
    </row>
    <row r="215" spans="1:18" s="6" customFormat="1" ht="25.5" x14ac:dyDescent="0.2">
      <c r="A215" s="3" t="str">
        <f t="shared" si="7"/>
        <v>F3GF_SUBHN</v>
      </c>
      <c r="B215" s="6" t="s">
        <v>15</v>
      </c>
      <c r="C215" s="6" t="s">
        <v>1476</v>
      </c>
      <c r="D215" s="3" t="s">
        <v>1481</v>
      </c>
      <c r="E215" s="3" t="s">
        <v>597</v>
      </c>
      <c r="F215" s="6" t="s">
        <v>573</v>
      </c>
      <c r="G215" s="3" t="s">
        <v>1483</v>
      </c>
      <c r="H215" s="3" t="s">
        <v>1482</v>
      </c>
      <c r="I215" s="6" t="s">
        <v>600</v>
      </c>
      <c r="J215" s="6" t="s">
        <v>601</v>
      </c>
      <c r="K215" s="6" t="s">
        <v>601</v>
      </c>
      <c r="L215" s="6" t="s">
        <v>575</v>
      </c>
      <c r="M215" s="6" t="s">
        <v>576</v>
      </c>
      <c r="N215" s="6" t="s">
        <v>576</v>
      </c>
      <c r="O215" s="6" t="s">
        <v>576</v>
      </c>
      <c r="P215" s="6" t="s">
        <v>576</v>
      </c>
      <c r="Q215" s="6" t="str">
        <f t="shared" si="8"/>
        <v>Global Finance</v>
      </c>
      <c r="R215" s="24" t="s">
        <v>1615</v>
      </c>
    </row>
    <row r="216" spans="1:18" s="6" customFormat="1" x14ac:dyDescent="0.2">
      <c r="A216" s="3" t="str">
        <f t="shared" si="7"/>
        <v>F3GF_SUBDU</v>
      </c>
      <c r="B216" s="6" t="s">
        <v>15</v>
      </c>
      <c r="C216" s="6" t="s">
        <v>611</v>
      </c>
      <c r="D216" s="6" t="s">
        <v>612</v>
      </c>
      <c r="E216" s="6" t="s">
        <v>597</v>
      </c>
      <c r="F216" s="6" t="s">
        <v>573</v>
      </c>
      <c r="G216" s="6" t="s">
        <v>613</v>
      </c>
      <c r="H216" s="6" t="s">
        <v>614</v>
      </c>
      <c r="I216" s="6" t="s">
        <v>600</v>
      </c>
      <c r="J216" s="6" t="s">
        <v>601</v>
      </c>
      <c r="K216" s="6" t="s">
        <v>601</v>
      </c>
      <c r="L216" s="6" t="s">
        <v>575</v>
      </c>
      <c r="M216" s="6" t="s">
        <v>576</v>
      </c>
      <c r="N216" s="6" t="s">
        <v>576</v>
      </c>
      <c r="O216" s="6" t="s">
        <v>576</v>
      </c>
      <c r="P216" s="6" t="s">
        <v>576</v>
      </c>
      <c r="Q216" s="6" t="str">
        <f t="shared" si="8"/>
        <v>Global Finance</v>
      </c>
      <c r="R216" s="21"/>
    </row>
    <row r="217" spans="1:18" s="6" customFormat="1" x14ac:dyDescent="0.2">
      <c r="A217" s="3" t="str">
        <f t="shared" si="7"/>
        <v>F3GF_SUBES</v>
      </c>
      <c r="B217" s="6" t="s">
        <v>15</v>
      </c>
      <c r="C217" s="6" t="s">
        <v>692</v>
      </c>
      <c r="D217" s="6" t="s">
        <v>693</v>
      </c>
      <c r="E217" s="6" t="s">
        <v>597</v>
      </c>
      <c r="F217" s="6" t="s">
        <v>573</v>
      </c>
      <c r="G217" s="6" t="s">
        <v>694</v>
      </c>
      <c r="H217" s="6" t="s">
        <v>694</v>
      </c>
      <c r="I217" s="6" t="s">
        <v>600</v>
      </c>
      <c r="J217" s="6" t="s">
        <v>601</v>
      </c>
      <c r="K217" s="6" t="s">
        <v>601</v>
      </c>
      <c r="L217" s="6" t="s">
        <v>575</v>
      </c>
      <c r="M217" s="6" t="s">
        <v>576</v>
      </c>
      <c r="N217" s="6" t="s">
        <v>576</v>
      </c>
      <c r="O217" s="6" t="s">
        <v>576</v>
      </c>
      <c r="P217" s="6" t="s">
        <v>576</v>
      </c>
      <c r="Q217" s="6" t="str">
        <f t="shared" si="8"/>
        <v>Global Finance</v>
      </c>
      <c r="R217" s="21" t="s">
        <v>1544</v>
      </c>
    </row>
    <row r="218" spans="1:18" s="6" customFormat="1" x14ac:dyDescent="0.2">
      <c r="A218" s="3" t="str">
        <f t="shared" si="7"/>
        <v>WXO4</v>
      </c>
      <c r="B218" s="6" t="s">
        <v>15</v>
      </c>
      <c r="C218" s="5" t="s">
        <v>1210</v>
      </c>
      <c r="D218" s="5" t="s">
        <v>1211</v>
      </c>
      <c r="F218" s="6" t="s">
        <v>1198</v>
      </c>
      <c r="G218" s="5" t="s">
        <v>1212</v>
      </c>
      <c r="H218" s="5" t="s">
        <v>1213</v>
      </c>
      <c r="I218" s="6" t="s">
        <v>18</v>
      </c>
      <c r="J218" s="6" t="s">
        <v>18</v>
      </c>
      <c r="K218" s="6" t="s">
        <v>18</v>
      </c>
      <c r="L218" s="6" t="s">
        <v>1201</v>
      </c>
      <c r="M218" s="6" t="s">
        <v>1199</v>
      </c>
      <c r="N218" s="6" t="s">
        <v>1200</v>
      </c>
      <c r="O218" s="6" t="s">
        <v>1199</v>
      </c>
      <c r="P218" s="6" t="s">
        <v>1200</v>
      </c>
      <c r="Q218" s="6" t="str">
        <f t="shared" si="8"/>
        <v>RDS Other</v>
      </c>
      <c r="R218" s="21"/>
    </row>
    <row r="219" spans="1:18" s="6" customFormat="1" x14ac:dyDescent="0.2">
      <c r="A219" s="3" t="str">
        <f t="shared" si="7"/>
        <v>GDMS_SUBGI</v>
      </c>
      <c r="B219" s="6" t="s">
        <v>15</v>
      </c>
      <c r="C219" s="6" t="s">
        <v>754</v>
      </c>
      <c r="D219" s="6" t="s">
        <v>755</v>
      </c>
      <c r="E219" s="6" t="s">
        <v>1425</v>
      </c>
      <c r="F219" s="6" t="s">
        <v>756</v>
      </c>
      <c r="G219" s="6" t="s">
        <v>757</v>
      </c>
      <c r="H219" s="6" t="s">
        <v>757</v>
      </c>
      <c r="I219" s="6" t="s">
        <v>1426</v>
      </c>
      <c r="J219" s="6" t="s">
        <v>1428</v>
      </c>
      <c r="K219" s="6" t="s">
        <v>1427</v>
      </c>
      <c r="L219" s="6" t="s">
        <v>758</v>
      </c>
      <c r="M219" s="6" t="s">
        <v>759</v>
      </c>
      <c r="N219" s="6" t="s">
        <v>760</v>
      </c>
      <c r="O219" s="6" t="s">
        <v>759</v>
      </c>
      <c r="P219" s="6" t="s">
        <v>760</v>
      </c>
      <c r="Q219" s="6" t="str">
        <f t="shared" si="8"/>
        <v>Risk, Safety &amp; Security</v>
      </c>
      <c r="R219" s="21"/>
    </row>
    <row r="220" spans="1:18" s="6" customFormat="1" x14ac:dyDescent="0.2">
      <c r="A220" s="3" t="str">
        <f t="shared" si="7"/>
        <v>GDMS_SUBH7</v>
      </c>
      <c r="B220" s="6" t="s">
        <v>15</v>
      </c>
      <c r="C220" s="6" t="s">
        <v>907</v>
      </c>
      <c r="D220" s="6" t="s">
        <v>908</v>
      </c>
      <c r="E220" s="6" t="s">
        <v>1425</v>
      </c>
      <c r="F220" s="7" t="s">
        <v>756</v>
      </c>
      <c r="G220" s="6" t="s">
        <v>909</v>
      </c>
      <c r="H220" s="6" t="s">
        <v>910</v>
      </c>
      <c r="I220" s="6" t="s">
        <v>1426</v>
      </c>
      <c r="J220" s="6" t="s">
        <v>1428</v>
      </c>
      <c r="K220" s="6" t="s">
        <v>1427</v>
      </c>
      <c r="L220" s="6" t="s">
        <v>758</v>
      </c>
      <c r="M220" s="6" t="s">
        <v>759</v>
      </c>
      <c r="N220" s="6" t="s">
        <v>760</v>
      </c>
      <c r="O220" s="6" t="s">
        <v>759</v>
      </c>
      <c r="P220" s="6" t="s">
        <v>760</v>
      </c>
      <c r="Q220" s="6" t="str">
        <f t="shared" si="8"/>
        <v>Risk, Safety &amp; Security</v>
      </c>
      <c r="R220" s="21"/>
    </row>
    <row r="221" spans="1:18" s="6" customFormat="1" x14ac:dyDescent="0.2">
      <c r="A221" s="3" t="str">
        <f t="shared" si="7"/>
        <v>THME_SUBGW</v>
      </c>
      <c r="B221" s="6" t="s">
        <v>23</v>
      </c>
      <c r="C221" s="6" t="s">
        <v>882</v>
      </c>
      <c r="D221" s="6" t="s">
        <v>883</v>
      </c>
      <c r="E221" s="6" t="s">
        <v>1585</v>
      </c>
      <c r="F221" s="6" t="s">
        <v>884</v>
      </c>
      <c r="G221" s="6" t="s">
        <v>885</v>
      </c>
      <c r="H221" s="6" t="s">
        <v>886</v>
      </c>
      <c r="I221" s="20" t="s">
        <v>1588</v>
      </c>
      <c r="J221" s="6" t="s">
        <v>1589</v>
      </c>
      <c r="K221" s="6" t="s">
        <v>1590</v>
      </c>
      <c r="L221" s="6" t="s">
        <v>887</v>
      </c>
      <c r="M221" s="6" t="s">
        <v>888</v>
      </c>
      <c r="N221" s="6" t="s">
        <v>889</v>
      </c>
      <c r="O221" s="6" t="s">
        <v>888</v>
      </c>
      <c r="P221" s="6" t="s">
        <v>889</v>
      </c>
      <c r="Q221" s="6" t="str">
        <f t="shared" si="8"/>
        <v>Strategy &amp; Experience</v>
      </c>
      <c r="R221" s="21" t="s">
        <v>1591</v>
      </c>
    </row>
    <row r="222" spans="1:18" s="6" customFormat="1" x14ac:dyDescent="0.2">
      <c r="A222" s="3" t="str">
        <f t="shared" si="7"/>
        <v>F3GF_SUBHP</v>
      </c>
      <c r="B222" s="6" t="s">
        <v>1523</v>
      </c>
      <c r="C222" s="6" t="s">
        <v>1522</v>
      </c>
      <c r="D222" s="3" t="s">
        <v>1524</v>
      </c>
      <c r="E222" s="3" t="s">
        <v>597</v>
      </c>
      <c r="F222" s="6" t="s">
        <v>573</v>
      </c>
      <c r="G222" s="3" t="s">
        <v>1526</v>
      </c>
      <c r="H222" s="22" t="s">
        <v>1525</v>
      </c>
      <c r="I222" s="6" t="s">
        <v>600</v>
      </c>
      <c r="J222" s="6" t="s">
        <v>601</v>
      </c>
      <c r="K222" s="6" t="s">
        <v>601</v>
      </c>
      <c r="L222" s="6" t="s">
        <v>575</v>
      </c>
      <c r="M222" s="6" t="s">
        <v>576</v>
      </c>
      <c r="N222" s="6" t="s">
        <v>576</v>
      </c>
      <c r="O222" s="6" t="s">
        <v>576</v>
      </c>
      <c r="P222" s="6" t="s">
        <v>576</v>
      </c>
      <c r="Q222" s="6" t="str">
        <f t="shared" si="8"/>
        <v>Global Finance</v>
      </c>
      <c r="R222" s="24" t="s">
        <v>1477</v>
      </c>
    </row>
    <row r="223" spans="1:18" s="6" customFormat="1" x14ac:dyDescent="0.2">
      <c r="A223" s="3" t="str">
        <f t="shared" si="7"/>
        <v>F3GF_SUBGO</v>
      </c>
      <c r="B223" s="6" t="s">
        <v>15</v>
      </c>
      <c r="C223" s="6" t="s">
        <v>626</v>
      </c>
      <c r="D223" s="6" t="s">
        <v>627</v>
      </c>
      <c r="E223" s="6" t="s">
        <v>597</v>
      </c>
      <c r="F223" s="6" t="s">
        <v>573</v>
      </c>
      <c r="G223" s="6" t="s">
        <v>628</v>
      </c>
      <c r="H223" s="6" t="s">
        <v>628</v>
      </c>
      <c r="I223" s="6" t="s">
        <v>600</v>
      </c>
      <c r="J223" s="6" t="s">
        <v>601</v>
      </c>
      <c r="K223" s="6" t="s">
        <v>601</v>
      </c>
      <c r="L223" s="6" t="s">
        <v>575</v>
      </c>
      <c r="M223" s="6" t="s">
        <v>576</v>
      </c>
      <c r="N223" s="6" t="s">
        <v>576</v>
      </c>
      <c r="O223" s="6" t="s">
        <v>576</v>
      </c>
      <c r="P223" s="6" t="s">
        <v>576</v>
      </c>
      <c r="Q223" s="6" t="str">
        <f t="shared" si="8"/>
        <v>Global Finance</v>
      </c>
      <c r="R223" s="21"/>
    </row>
    <row r="224" spans="1:18" s="6" customFormat="1" x14ac:dyDescent="0.2">
      <c r="A224" s="3" t="str">
        <f t="shared" si="7"/>
        <v>RERC_SUBWT</v>
      </c>
      <c r="B224" s="6" t="s">
        <v>15</v>
      </c>
      <c r="C224" s="6" t="s">
        <v>833</v>
      </c>
      <c r="D224" s="6" t="s">
        <v>834</v>
      </c>
      <c r="E224" s="6" t="s">
        <v>820</v>
      </c>
      <c r="F224" s="6" t="s">
        <v>813</v>
      </c>
      <c r="G224" s="6" t="s">
        <v>835</v>
      </c>
      <c r="H224" s="6" t="s">
        <v>836</v>
      </c>
      <c r="I224" s="6" t="s">
        <v>823</v>
      </c>
      <c r="J224" s="6" t="s">
        <v>824</v>
      </c>
      <c r="K224" s="6" t="s">
        <v>825</v>
      </c>
      <c r="L224" s="6" t="s">
        <v>816</v>
      </c>
      <c r="M224" s="6" t="s">
        <v>817</v>
      </c>
      <c r="N224" s="6" t="s">
        <v>817</v>
      </c>
      <c r="O224" s="6" t="s">
        <v>817</v>
      </c>
      <c r="P224" s="6" t="s">
        <v>817</v>
      </c>
      <c r="Q224" s="6" t="str">
        <f t="shared" si="8"/>
        <v>TA CoE</v>
      </c>
      <c r="R224" s="21"/>
    </row>
    <row r="225" spans="1:18" s="6" customFormat="1" ht="25.5" x14ac:dyDescent="0.2">
      <c r="A225" s="3" t="str">
        <f t="shared" si="7"/>
        <v>RERC_SUBVJ</v>
      </c>
      <c r="B225" s="6" t="s">
        <v>23</v>
      </c>
      <c r="C225" s="6" t="s">
        <v>811</v>
      </c>
      <c r="D225" s="6" t="s">
        <v>812</v>
      </c>
      <c r="E225" s="6" t="s">
        <v>820</v>
      </c>
      <c r="F225" s="6" t="s">
        <v>813</v>
      </c>
      <c r="G225" s="6" t="s">
        <v>814</v>
      </c>
      <c r="H225" s="6" t="s">
        <v>815</v>
      </c>
      <c r="I225" s="6" t="s">
        <v>823</v>
      </c>
      <c r="J225" s="6" t="s">
        <v>824</v>
      </c>
      <c r="K225" s="6" t="s">
        <v>825</v>
      </c>
      <c r="L225" s="6" t="s">
        <v>816</v>
      </c>
      <c r="M225" s="6" t="s">
        <v>817</v>
      </c>
      <c r="N225" s="6" t="s">
        <v>817</v>
      </c>
      <c r="O225" s="6" t="s">
        <v>817</v>
      </c>
      <c r="P225" s="6" t="s">
        <v>817</v>
      </c>
      <c r="Q225" s="6" t="str">
        <f t="shared" si="8"/>
        <v>TA CoE</v>
      </c>
      <c r="R225" s="21" t="s">
        <v>1549</v>
      </c>
    </row>
    <row r="226" spans="1:18" s="6" customFormat="1" x14ac:dyDescent="0.2">
      <c r="A226" s="3" t="str">
        <f t="shared" si="7"/>
        <v>THGR_SUBH1</v>
      </c>
      <c r="B226" s="6" t="s">
        <v>23</v>
      </c>
      <c r="C226" s="6" t="s">
        <v>936</v>
      </c>
      <c r="D226" s="6" t="s">
        <v>937</v>
      </c>
      <c r="E226" s="6" t="s">
        <v>921</v>
      </c>
      <c r="F226" s="6" t="s">
        <v>884</v>
      </c>
      <c r="G226" s="6" t="s">
        <v>938</v>
      </c>
      <c r="H226" s="6" t="s">
        <v>939</v>
      </c>
      <c r="I226" s="6" t="s">
        <v>923</v>
      </c>
      <c r="J226" s="6" t="s">
        <v>924</v>
      </c>
      <c r="K226" s="6" t="s">
        <v>925</v>
      </c>
      <c r="L226" s="6" t="s">
        <v>887</v>
      </c>
      <c r="M226" s="6" t="s">
        <v>888</v>
      </c>
      <c r="N226" s="6" t="s">
        <v>889</v>
      </c>
      <c r="O226" s="6" t="s">
        <v>888</v>
      </c>
      <c r="P226" s="6" t="s">
        <v>889</v>
      </c>
      <c r="Q226" s="6" t="str">
        <f t="shared" si="8"/>
        <v>HR &amp; Talent Mgmt.</v>
      </c>
      <c r="R226" s="21"/>
    </row>
    <row r="227" spans="1:18" s="6" customFormat="1" x14ac:dyDescent="0.2">
      <c r="A227" s="3" t="str">
        <f t="shared" si="7"/>
        <v>THME_SUBDP</v>
      </c>
      <c r="B227" s="6" t="s">
        <v>15</v>
      </c>
      <c r="C227" s="6" t="s">
        <v>987</v>
      </c>
      <c r="D227" s="6" t="s">
        <v>988</v>
      </c>
      <c r="E227" s="6" t="s">
        <v>1585</v>
      </c>
      <c r="F227" s="6" t="s">
        <v>884</v>
      </c>
      <c r="G227" s="6" t="s">
        <v>989</v>
      </c>
      <c r="H227" s="6" t="s">
        <v>990</v>
      </c>
      <c r="I227" s="20" t="s">
        <v>1588</v>
      </c>
      <c r="J227" s="6" t="s">
        <v>1589</v>
      </c>
      <c r="K227" s="6" t="s">
        <v>1590</v>
      </c>
      <c r="L227" s="6" t="s">
        <v>887</v>
      </c>
      <c r="M227" s="6" t="s">
        <v>888</v>
      </c>
      <c r="N227" s="6" t="s">
        <v>889</v>
      </c>
      <c r="O227" s="6" t="s">
        <v>888</v>
      </c>
      <c r="P227" s="6" t="s">
        <v>889</v>
      </c>
      <c r="Q227" s="6" t="str">
        <f t="shared" si="8"/>
        <v>Strategy &amp; Experience</v>
      </c>
      <c r="R227" s="21" t="s">
        <v>1627</v>
      </c>
    </row>
    <row r="228" spans="1:18" s="6" customFormat="1" x14ac:dyDescent="0.2">
      <c r="A228" s="3" t="str">
        <f t="shared" si="7"/>
        <v>THME_SUBNW</v>
      </c>
      <c r="B228" s="6" t="s">
        <v>23</v>
      </c>
      <c r="C228" s="6" t="s">
        <v>764</v>
      </c>
      <c r="D228" s="6" t="s">
        <v>988</v>
      </c>
      <c r="E228" s="6" t="s">
        <v>1585</v>
      </c>
      <c r="F228" s="6" t="s">
        <v>884</v>
      </c>
      <c r="G228" s="6" t="s">
        <v>766</v>
      </c>
      <c r="H228" s="6" t="s">
        <v>767</v>
      </c>
      <c r="I228" s="20" t="s">
        <v>1588</v>
      </c>
      <c r="J228" s="6" t="s">
        <v>1589</v>
      </c>
      <c r="K228" s="6" t="s">
        <v>1590</v>
      </c>
      <c r="L228" s="6" t="s">
        <v>887</v>
      </c>
      <c r="M228" s="6" t="s">
        <v>888</v>
      </c>
      <c r="N228" s="6" t="s">
        <v>889</v>
      </c>
      <c r="O228" s="6" t="s">
        <v>888</v>
      </c>
      <c r="P228" s="6" t="s">
        <v>889</v>
      </c>
      <c r="Q228" s="6" t="str">
        <f t="shared" si="8"/>
        <v>Strategy &amp; Experience</v>
      </c>
      <c r="R228" s="21" t="s">
        <v>1534</v>
      </c>
    </row>
    <row r="229" spans="1:18" s="6" customFormat="1" x14ac:dyDescent="0.2">
      <c r="A229" s="3" t="str">
        <f t="shared" si="7"/>
        <v>F3GF_SUBGX</v>
      </c>
      <c r="B229" s="6" t="s">
        <v>15</v>
      </c>
      <c r="C229" s="6" t="s">
        <v>636</v>
      </c>
      <c r="D229" s="6" t="s">
        <v>637</v>
      </c>
      <c r="E229" s="6" t="s">
        <v>597</v>
      </c>
      <c r="F229" s="6" t="s">
        <v>573</v>
      </c>
      <c r="G229" s="6" t="s">
        <v>638</v>
      </c>
      <c r="H229" s="6" t="s">
        <v>638</v>
      </c>
      <c r="I229" s="6" t="s">
        <v>600</v>
      </c>
      <c r="J229" s="6" t="s">
        <v>601</v>
      </c>
      <c r="K229" s="6" t="s">
        <v>601</v>
      </c>
      <c r="L229" s="6" t="s">
        <v>575</v>
      </c>
      <c r="M229" s="6" t="s">
        <v>576</v>
      </c>
      <c r="N229" s="6" t="s">
        <v>576</v>
      </c>
      <c r="O229" s="6" t="s">
        <v>576</v>
      </c>
      <c r="P229" s="6" t="s">
        <v>576</v>
      </c>
      <c r="Q229" s="6" t="str">
        <f t="shared" si="8"/>
        <v>Global Finance</v>
      </c>
      <c r="R229" s="21"/>
    </row>
    <row r="230" spans="1:18" s="6" customFormat="1" ht="25.5" x14ac:dyDescent="0.2">
      <c r="A230" s="3" t="str">
        <f t="shared" si="7"/>
        <v>F18ML_SUBFZ</v>
      </c>
      <c r="B230" s="6" t="s">
        <v>15</v>
      </c>
      <c r="C230" s="6" t="s">
        <v>1269</v>
      </c>
      <c r="D230" s="20" t="s">
        <v>1694</v>
      </c>
      <c r="E230" s="31" t="s">
        <v>1642</v>
      </c>
      <c r="F230" s="6" t="s">
        <v>1304</v>
      </c>
      <c r="G230" s="6" t="s">
        <v>1365</v>
      </c>
      <c r="H230" s="20" t="s">
        <v>1694</v>
      </c>
      <c r="I230" s="6" t="s">
        <v>1302</v>
      </c>
      <c r="J230" s="31" t="s">
        <v>1648</v>
      </c>
      <c r="K230" s="31" t="s">
        <v>1648</v>
      </c>
      <c r="L230" s="6" t="s">
        <v>447</v>
      </c>
      <c r="M230" s="6" t="s">
        <v>1420</v>
      </c>
      <c r="N230" s="6" t="s">
        <v>1305</v>
      </c>
      <c r="O230" s="6" t="s">
        <v>1420</v>
      </c>
      <c r="P230" s="6" t="s">
        <v>1305</v>
      </c>
      <c r="Q230" s="6" t="str">
        <f t="shared" ref="Q230:Q261" si="9">IF(J230&lt;&gt;"",J230,_xlfn.CONCAT(O230," Other"))</f>
        <v>Strategy &amp; Innovation</v>
      </c>
      <c r="R230" s="25"/>
    </row>
    <row r="231" spans="1:18" s="6" customFormat="1" ht="25.5" x14ac:dyDescent="0.2">
      <c r="A231" s="3" t="str">
        <f t="shared" si="7"/>
        <v>F3GF_SUBHO</v>
      </c>
      <c r="B231" s="6" t="s">
        <v>15</v>
      </c>
      <c r="C231" s="6" t="s">
        <v>1475</v>
      </c>
      <c r="D231" s="3" t="s">
        <v>1478</v>
      </c>
      <c r="E231" s="3" t="s">
        <v>597</v>
      </c>
      <c r="F231" s="6" t="s">
        <v>573</v>
      </c>
      <c r="G231" s="3" t="s">
        <v>1480</v>
      </c>
      <c r="H231" s="3" t="s">
        <v>1479</v>
      </c>
      <c r="I231" s="6" t="s">
        <v>600</v>
      </c>
      <c r="J231" s="6" t="s">
        <v>601</v>
      </c>
      <c r="K231" s="6" t="s">
        <v>601</v>
      </c>
      <c r="L231" s="6" t="s">
        <v>575</v>
      </c>
      <c r="M231" s="6" t="s">
        <v>576</v>
      </c>
      <c r="N231" s="6" t="s">
        <v>576</v>
      </c>
      <c r="O231" s="6" t="s">
        <v>576</v>
      </c>
      <c r="P231" s="6" t="s">
        <v>576</v>
      </c>
      <c r="Q231" s="6" t="str">
        <f t="shared" si="9"/>
        <v>Global Finance</v>
      </c>
      <c r="R231" s="24" t="s">
        <v>1616</v>
      </c>
    </row>
    <row r="232" spans="1:18" s="6" customFormat="1" x14ac:dyDescent="0.2">
      <c r="A232" s="3" t="str">
        <f t="shared" si="7"/>
        <v>F4GO_SUBTR</v>
      </c>
      <c r="B232" s="6" t="s">
        <v>15</v>
      </c>
      <c r="C232" s="6" t="s">
        <v>698</v>
      </c>
      <c r="D232" s="6" t="s">
        <v>699</v>
      </c>
      <c r="E232" s="6" t="s">
        <v>679</v>
      </c>
      <c r="F232" s="6" t="s">
        <v>680</v>
      </c>
      <c r="G232" s="6" t="s">
        <v>700</v>
      </c>
      <c r="H232" s="6" t="s">
        <v>700</v>
      </c>
      <c r="I232" s="6" t="s">
        <v>683</v>
      </c>
      <c r="J232" s="6" t="s">
        <v>684</v>
      </c>
      <c r="K232" s="6" t="s">
        <v>685</v>
      </c>
      <c r="L232" s="6" t="s">
        <v>686</v>
      </c>
      <c r="M232" s="6" t="s">
        <v>687</v>
      </c>
      <c r="N232" s="6" t="s">
        <v>688</v>
      </c>
      <c r="O232" s="6" t="s">
        <v>687</v>
      </c>
      <c r="P232" s="6" t="s">
        <v>688</v>
      </c>
      <c r="Q232" s="6" t="str">
        <f t="shared" si="9"/>
        <v>Global Ops</v>
      </c>
      <c r="R232" s="21"/>
    </row>
    <row r="233" spans="1:18" s="6" customFormat="1" x14ac:dyDescent="0.2">
      <c r="A233" s="3" t="str">
        <f t="shared" si="7"/>
        <v>F3GF_SUBTG</v>
      </c>
      <c r="B233" s="6" t="s">
        <v>15</v>
      </c>
      <c r="C233" s="6" t="s">
        <v>645</v>
      </c>
      <c r="D233" s="6" t="s">
        <v>646</v>
      </c>
      <c r="E233" s="6" t="s">
        <v>597</v>
      </c>
      <c r="F233" s="6" t="s">
        <v>573</v>
      </c>
      <c r="G233" s="6" t="s">
        <v>647</v>
      </c>
      <c r="H233" s="6" t="s">
        <v>647</v>
      </c>
      <c r="I233" s="6" t="s">
        <v>600</v>
      </c>
      <c r="J233" s="6" t="s">
        <v>601</v>
      </c>
      <c r="K233" s="6" t="s">
        <v>601</v>
      </c>
      <c r="L233" s="6" t="s">
        <v>575</v>
      </c>
      <c r="M233" s="6" t="s">
        <v>576</v>
      </c>
      <c r="N233" s="6" t="s">
        <v>576</v>
      </c>
      <c r="O233" s="6" t="s">
        <v>576</v>
      </c>
      <c r="P233" s="6" t="s">
        <v>576</v>
      </c>
      <c r="Q233" s="6" t="str">
        <f t="shared" si="9"/>
        <v>Global Finance</v>
      </c>
      <c r="R233" s="21"/>
    </row>
    <row r="234" spans="1:18" s="6" customFormat="1" x14ac:dyDescent="0.2">
      <c r="A234" s="3" t="str">
        <f t="shared" si="7"/>
        <v>THME_SUBDO</v>
      </c>
      <c r="B234" s="6" t="s">
        <v>15</v>
      </c>
      <c r="C234" s="6" t="s">
        <v>983</v>
      </c>
      <c r="D234" s="6" t="s">
        <v>984</v>
      </c>
      <c r="E234" s="6" t="s">
        <v>1585</v>
      </c>
      <c r="F234" s="6" t="s">
        <v>884</v>
      </c>
      <c r="G234" s="6" t="s">
        <v>985</v>
      </c>
      <c r="H234" s="6" t="s">
        <v>986</v>
      </c>
      <c r="I234" s="20" t="s">
        <v>1588</v>
      </c>
      <c r="J234" s="6" t="s">
        <v>1589</v>
      </c>
      <c r="K234" s="6" t="s">
        <v>1590</v>
      </c>
      <c r="L234" s="6" t="s">
        <v>887</v>
      </c>
      <c r="M234" s="6" t="s">
        <v>888</v>
      </c>
      <c r="N234" s="6" t="s">
        <v>889</v>
      </c>
      <c r="O234" s="6" t="s">
        <v>888</v>
      </c>
      <c r="P234" s="6" t="s">
        <v>889</v>
      </c>
      <c r="Q234" s="6" t="str">
        <f t="shared" si="9"/>
        <v>Strategy &amp; Experience</v>
      </c>
      <c r="R234" s="21"/>
    </row>
    <row r="235" spans="1:18" s="6" customFormat="1" x14ac:dyDescent="0.2">
      <c r="A235" s="3" t="str">
        <f t="shared" si="7"/>
        <v>THGR_SUBSD</v>
      </c>
      <c r="B235" s="6" t="s">
        <v>15</v>
      </c>
      <c r="C235" s="6" t="s">
        <v>965</v>
      </c>
      <c r="D235" s="6" t="s">
        <v>966</v>
      </c>
      <c r="E235" s="6" t="s">
        <v>921</v>
      </c>
      <c r="F235" s="6" t="s">
        <v>884</v>
      </c>
      <c r="G235" s="6" t="s">
        <v>967</v>
      </c>
      <c r="H235" s="6" t="s">
        <v>967</v>
      </c>
      <c r="I235" s="6" t="s">
        <v>923</v>
      </c>
      <c r="J235" s="6" t="s">
        <v>924</v>
      </c>
      <c r="K235" s="6" t="s">
        <v>925</v>
      </c>
      <c r="L235" s="6" t="s">
        <v>887</v>
      </c>
      <c r="M235" s="6" t="s">
        <v>888</v>
      </c>
      <c r="N235" s="6" t="s">
        <v>889</v>
      </c>
      <c r="O235" s="6" t="s">
        <v>888</v>
      </c>
      <c r="P235" s="6" t="s">
        <v>889</v>
      </c>
      <c r="Q235" s="6" t="str">
        <f t="shared" si="9"/>
        <v>HR &amp; Talent Mgmt.</v>
      </c>
      <c r="R235" s="21"/>
    </row>
    <row r="236" spans="1:18" s="6" customFormat="1" x14ac:dyDescent="0.2">
      <c r="A236" s="3" t="str">
        <f t="shared" si="7"/>
        <v>F15SP_SUBD5</v>
      </c>
      <c r="B236" s="6" t="s">
        <v>15</v>
      </c>
      <c r="C236" s="6" t="s">
        <v>354</v>
      </c>
      <c r="D236" s="6" t="s">
        <v>355</v>
      </c>
      <c r="E236" s="6" t="s">
        <v>337</v>
      </c>
      <c r="F236" s="6" t="s">
        <v>314</v>
      </c>
      <c r="G236" s="6" t="s">
        <v>356</v>
      </c>
      <c r="H236" s="6" t="s">
        <v>357</v>
      </c>
      <c r="I236" s="6" t="s">
        <v>338</v>
      </c>
      <c r="J236" s="6" t="s">
        <v>339</v>
      </c>
      <c r="K236" s="6" t="s">
        <v>339</v>
      </c>
      <c r="L236" s="6" t="s">
        <v>317</v>
      </c>
      <c r="M236" s="6" t="s">
        <v>318</v>
      </c>
      <c r="N236" s="6" t="s">
        <v>319</v>
      </c>
      <c r="O236" s="6" t="s">
        <v>318</v>
      </c>
      <c r="P236" s="6" t="s">
        <v>319</v>
      </c>
      <c r="Q236" s="6" t="str">
        <f t="shared" si="9"/>
        <v>Practice Teams</v>
      </c>
      <c r="R236" s="21"/>
    </row>
    <row r="237" spans="1:18" s="6" customFormat="1" x14ac:dyDescent="0.2">
      <c r="A237" s="3" t="str">
        <f t="shared" si="7"/>
        <v>F2EC_SUBM2</v>
      </c>
      <c r="B237" s="6" t="s">
        <v>15</v>
      </c>
      <c r="C237" s="6" t="s">
        <v>533</v>
      </c>
      <c r="D237" s="32" t="s">
        <v>1774</v>
      </c>
      <c r="E237" s="6" t="s">
        <v>504</v>
      </c>
      <c r="F237" s="6" t="s">
        <v>505</v>
      </c>
      <c r="G237" s="6" t="s">
        <v>1657</v>
      </c>
      <c r="H237" s="6" t="s">
        <v>1658</v>
      </c>
      <c r="I237" s="6" t="s">
        <v>507</v>
      </c>
      <c r="J237" s="6" t="s">
        <v>508</v>
      </c>
      <c r="K237" s="6" t="s">
        <v>509</v>
      </c>
      <c r="L237" s="6" t="s">
        <v>492</v>
      </c>
      <c r="M237" s="6" t="s">
        <v>493</v>
      </c>
      <c r="N237" s="6" t="s">
        <v>493</v>
      </c>
      <c r="O237" s="6" t="s">
        <v>510</v>
      </c>
      <c r="P237" s="6" t="s">
        <v>511</v>
      </c>
      <c r="Q237" s="6" t="str">
        <f t="shared" si="9"/>
        <v>Expert Cons.</v>
      </c>
      <c r="R237" s="21" t="s">
        <v>1667</v>
      </c>
    </row>
    <row r="238" spans="1:18" s="6" customFormat="1" x14ac:dyDescent="0.2">
      <c r="A238" s="3" t="str">
        <f t="shared" si="7"/>
        <v>VFSR_SUBDB</v>
      </c>
      <c r="B238" s="6" t="s">
        <v>23</v>
      </c>
      <c r="C238" s="6" t="s">
        <v>1117</v>
      </c>
      <c r="D238" s="6" t="s">
        <v>1118</v>
      </c>
      <c r="E238" s="6" t="s">
        <v>1119</v>
      </c>
      <c r="F238" s="6" t="s">
        <v>1073</v>
      </c>
      <c r="G238" s="6" t="s">
        <v>1120</v>
      </c>
      <c r="H238" s="6" t="s">
        <v>1120</v>
      </c>
      <c r="I238" s="6" t="s">
        <v>1121</v>
      </c>
      <c r="J238" s="6" t="s">
        <v>1122</v>
      </c>
      <c r="K238" s="6" t="s">
        <v>1122</v>
      </c>
      <c r="L238" s="6" t="s">
        <v>1076</v>
      </c>
      <c r="M238" s="6" t="s">
        <v>1077</v>
      </c>
      <c r="N238" s="6" t="s">
        <v>1078</v>
      </c>
      <c r="O238" s="6" t="s">
        <v>1077</v>
      </c>
      <c r="P238" s="6" t="s">
        <v>1078</v>
      </c>
      <c r="Q238" s="6" t="str">
        <f t="shared" si="9"/>
        <v>PEG Innovation</v>
      </c>
      <c r="R238" s="21"/>
    </row>
    <row r="239" spans="1:18" s="6" customFormat="1" x14ac:dyDescent="0.2">
      <c r="A239" s="3" t="str">
        <f t="shared" si="7"/>
        <v>THGR_SUBXX_HR</v>
      </c>
      <c r="B239" s="6" t="s">
        <v>23</v>
      </c>
      <c r="C239" s="6" t="s">
        <v>971</v>
      </c>
      <c r="D239" s="6" t="s">
        <v>972</v>
      </c>
      <c r="E239" s="6" t="s">
        <v>921</v>
      </c>
      <c r="F239" s="6" t="s">
        <v>884</v>
      </c>
      <c r="G239" s="6" t="s">
        <v>972</v>
      </c>
      <c r="H239" s="6" t="s">
        <v>972</v>
      </c>
      <c r="I239" s="6" t="s">
        <v>923</v>
      </c>
      <c r="J239" s="6" t="s">
        <v>924</v>
      </c>
      <c r="K239" s="6" t="s">
        <v>925</v>
      </c>
      <c r="L239" s="6" t="s">
        <v>887</v>
      </c>
      <c r="M239" s="6" t="s">
        <v>888</v>
      </c>
      <c r="N239" s="6" t="s">
        <v>889</v>
      </c>
      <c r="O239" s="6" t="s">
        <v>888</v>
      </c>
      <c r="P239" s="6" t="s">
        <v>889</v>
      </c>
      <c r="Q239" s="6" t="str">
        <f t="shared" si="9"/>
        <v>HR &amp; Talent Mgmt.</v>
      </c>
      <c r="R239" s="21"/>
    </row>
    <row r="240" spans="1:18" s="6" customFormat="1" x14ac:dyDescent="0.2">
      <c r="A240" s="3" t="str">
        <f t="shared" si="7"/>
        <v>THGR_SUBRU</v>
      </c>
      <c r="B240" s="6" t="s">
        <v>15</v>
      </c>
      <c r="C240" s="6" t="s">
        <v>961</v>
      </c>
      <c r="D240" s="8" t="s">
        <v>962</v>
      </c>
      <c r="E240" s="8" t="s">
        <v>921</v>
      </c>
      <c r="F240" s="8" t="s">
        <v>884</v>
      </c>
      <c r="G240" s="8" t="s">
        <v>963</v>
      </c>
      <c r="H240" s="8" t="s">
        <v>964</v>
      </c>
      <c r="I240" s="8" t="s">
        <v>923</v>
      </c>
      <c r="J240" s="8" t="s">
        <v>924</v>
      </c>
      <c r="K240" s="6" t="s">
        <v>925</v>
      </c>
      <c r="L240" s="8" t="s">
        <v>887</v>
      </c>
      <c r="M240" s="6" t="s">
        <v>888</v>
      </c>
      <c r="N240" s="6" t="s">
        <v>889</v>
      </c>
      <c r="O240" s="6" t="s">
        <v>888</v>
      </c>
      <c r="P240" s="6" t="s">
        <v>889</v>
      </c>
      <c r="Q240" s="6" t="str">
        <f t="shared" si="9"/>
        <v>HR &amp; Talent Mgmt.</v>
      </c>
      <c r="R240" s="21"/>
    </row>
    <row r="241" spans="1:18" s="6" customFormat="1" x14ac:dyDescent="0.2">
      <c r="A241" s="3" t="str">
        <f t="shared" si="7"/>
        <v>VECID_SUBCN</v>
      </c>
      <c r="B241" s="6" t="s">
        <v>23</v>
      </c>
      <c r="C241" s="6" t="s">
        <v>1062</v>
      </c>
      <c r="D241" s="6" t="s">
        <v>1063</v>
      </c>
      <c r="E241" s="6" t="s">
        <v>1053</v>
      </c>
      <c r="F241" s="6" t="s">
        <v>1028</v>
      </c>
      <c r="G241" s="6" t="s">
        <v>1064</v>
      </c>
      <c r="H241" s="6" t="s">
        <v>1065</v>
      </c>
      <c r="I241" s="6" t="s">
        <v>1054</v>
      </c>
      <c r="J241" s="6" t="s">
        <v>1055</v>
      </c>
      <c r="K241" s="6" t="s">
        <v>1056</v>
      </c>
      <c r="L241" s="6" t="s">
        <v>1029</v>
      </c>
      <c r="M241" s="6" t="s">
        <v>1030</v>
      </c>
      <c r="N241" s="6" t="s">
        <v>1030</v>
      </c>
      <c r="O241" s="6" t="s">
        <v>1030</v>
      </c>
      <c r="P241" s="6" t="s">
        <v>1030</v>
      </c>
      <c r="Q241" s="6" t="str">
        <f t="shared" si="9"/>
        <v>I&amp;D</v>
      </c>
      <c r="R241" s="21"/>
    </row>
    <row r="242" spans="1:18" s="6" customFormat="1" x14ac:dyDescent="0.2">
      <c r="A242" s="3" t="str">
        <f t="shared" si="7"/>
        <v>VECID_SUBBE</v>
      </c>
      <c r="B242" s="6" t="s">
        <v>23</v>
      </c>
      <c r="C242" s="6" t="s">
        <v>1057</v>
      </c>
      <c r="D242" s="6" t="s">
        <v>1058</v>
      </c>
      <c r="E242" s="6" t="s">
        <v>1053</v>
      </c>
      <c r="F242" s="6" t="s">
        <v>1028</v>
      </c>
      <c r="G242" s="6" t="s">
        <v>1059</v>
      </c>
      <c r="H242" s="6" t="s">
        <v>1059</v>
      </c>
      <c r="I242" s="6" t="s">
        <v>1054</v>
      </c>
      <c r="J242" s="6" t="s">
        <v>1055</v>
      </c>
      <c r="K242" s="6" t="s">
        <v>1056</v>
      </c>
      <c r="L242" s="6" t="s">
        <v>1029</v>
      </c>
      <c r="M242" s="6" t="s">
        <v>1030</v>
      </c>
      <c r="N242" s="6" t="s">
        <v>1030</v>
      </c>
      <c r="O242" s="6" t="s">
        <v>1030</v>
      </c>
      <c r="P242" s="6" t="s">
        <v>1030</v>
      </c>
      <c r="Q242" s="6" t="str">
        <f t="shared" si="9"/>
        <v>I&amp;D</v>
      </c>
      <c r="R242" s="21"/>
    </row>
    <row r="243" spans="1:18" s="6" customFormat="1" x14ac:dyDescent="0.2">
      <c r="A243" s="3" t="str">
        <f t="shared" si="7"/>
        <v>F10BA_SUBIC</v>
      </c>
      <c r="B243" s="6" t="s">
        <v>23</v>
      </c>
      <c r="C243" s="6" t="s">
        <v>223</v>
      </c>
      <c r="D243" s="6" t="s">
        <v>224</v>
      </c>
      <c r="E243" s="6" t="s">
        <v>214</v>
      </c>
      <c r="F243" s="6" t="s">
        <v>189</v>
      </c>
      <c r="G243" s="6" t="s">
        <v>225</v>
      </c>
      <c r="H243" s="6" t="s">
        <v>226</v>
      </c>
      <c r="I243" s="6" t="s">
        <v>216</v>
      </c>
      <c r="J243" s="6" t="s">
        <v>217</v>
      </c>
      <c r="K243" s="6" t="s">
        <v>217</v>
      </c>
      <c r="L243" s="6" t="s">
        <v>191</v>
      </c>
      <c r="M243" s="6" t="s">
        <v>192</v>
      </c>
      <c r="N243" s="6" t="s">
        <v>192</v>
      </c>
      <c r="O243" s="6" t="s">
        <v>192</v>
      </c>
      <c r="P243" s="6" t="s">
        <v>192</v>
      </c>
      <c r="Q243" s="6" t="str">
        <f t="shared" si="9"/>
        <v>Brand Studio</v>
      </c>
      <c r="R243" s="21"/>
    </row>
    <row r="244" spans="1:18" s="6" customFormat="1" x14ac:dyDescent="0.2">
      <c r="A244" s="3" t="str">
        <f t="shared" si="7"/>
        <v>F3GF_SUBIS</v>
      </c>
      <c r="B244" s="6" t="s">
        <v>15</v>
      </c>
      <c r="C244" s="6" t="s">
        <v>642</v>
      </c>
      <c r="D244" s="6" t="s">
        <v>643</v>
      </c>
      <c r="E244" s="6" t="s">
        <v>597</v>
      </c>
      <c r="F244" s="6" t="s">
        <v>573</v>
      </c>
      <c r="G244" s="6" t="s">
        <v>644</v>
      </c>
      <c r="H244" s="6" t="s">
        <v>644</v>
      </c>
      <c r="I244" s="6" t="s">
        <v>600</v>
      </c>
      <c r="J244" s="6" t="s">
        <v>601</v>
      </c>
      <c r="K244" s="6" t="s">
        <v>601</v>
      </c>
      <c r="L244" s="6" t="s">
        <v>575</v>
      </c>
      <c r="M244" s="6" t="s">
        <v>576</v>
      </c>
      <c r="N244" s="6" t="s">
        <v>576</v>
      </c>
      <c r="O244" s="6" t="s">
        <v>576</v>
      </c>
      <c r="P244" s="6" t="s">
        <v>576</v>
      </c>
      <c r="Q244" s="6" t="str">
        <f t="shared" si="9"/>
        <v>Global Finance</v>
      </c>
      <c r="R244" s="21"/>
    </row>
    <row r="245" spans="1:18" s="6" customFormat="1" x14ac:dyDescent="0.2">
      <c r="A245" s="3" t="str">
        <f t="shared" si="7"/>
        <v>F15PP_SUBWW</v>
      </c>
      <c r="B245" s="6" t="s">
        <v>15</v>
      </c>
      <c r="C245" s="6" t="s">
        <v>333</v>
      </c>
      <c r="D245" s="6" t="s">
        <v>334</v>
      </c>
      <c r="E245" s="6" t="s">
        <v>324</v>
      </c>
      <c r="F245" s="6" t="s">
        <v>314</v>
      </c>
      <c r="G245" s="6" t="s">
        <v>335</v>
      </c>
      <c r="H245" s="6" t="s">
        <v>335</v>
      </c>
      <c r="I245" s="6" t="s">
        <v>325</v>
      </c>
      <c r="J245" s="6" t="s">
        <v>326</v>
      </c>
      <c r="K245" s="6" t="s">
        <v>326</v>
      </c>
      <c r="L245" s="6" t="s">
        <v>317</v>
      </c>
      <c r="M245" s="6" t="s">
        <v>318</v>
      </c>
      <c r="N245" s="6" t="s">
        <v>319</v>
      </c>
      <c r="O245" s="6" t="s">
        <v>318</v>
      </c>
      <c r="P245" s="6" t="s">
        <v>319</v>
      </c>
      <c r="Q245" s="6" t="str">
        <f t="shared" si="9"/>
        <v>PPK Program Office</v>
      </c>
      <c r="R245" s="21"/>
    </row>
    <row r="246" spans="1:18" s="6" customFormat="1" x14ac:dyDescent="0.2">
      <c r="A246" s="3" t="str">
        <f t="shared" si="7"/>
        <v>WUON_SUBGL</v>
      </c>
      <c r="B246" s="6" t="s">
        <v>15</v>
      </c>
      <c r="C246" s="6" t="s">
        <v>1293</v>
      </c>
      <c r="D246" s="6" t="s">
        <v>1294</v>
      </c>
      <c r="E246" s="6" t="s">
        <v>1187</v>
      </c>
      <c r="F246" s="6" t="s">
        <v>1156</v>
      </c>
      <c r="G246" s="6" t="s">
        <v>1370</v>
      </c>
      <c r="H246" s="6" t="s">
        <v>1369</v>
      </c>
      <c r="I246" s="6" t="s">
        <v>1190</v>
      </c>
      <c r="J246" s="6" t="s">
        <v>1191</v>
      </c>
      <c r="K246" s="6" t="s">
        <v>1191</v>
      </c>
      <c r="L246" s="6" t="s">
        <v>1158</v>
      </c>
      <c r="M246" s="6" t="s">
        <v>1159</v>
      </c>
      <c r="N246" s="6" t="s">
        <v>1160</v>
      </c>
      <c r="O246" s="6" t="s">
        <v>1159</v>
      </c>
      <c r="P246" s="6" t="s">
        <v>1160</v>
      </c>
      <c r="Q246" s="6" t="str">
        <f t="shared" si="9"/>
        <v>Other New Services</v>
      </c>
      <c r="R246" s="21"/>
    </row>
    <row r="247" spans="1:18" s="6" customFormat="1" x14ac:dyDescent="0.2">
      <c r="A247" s="3" t="str">
        <f t="shared" si="7"/>
        <v>RERT_SUBLE</v>
      </c>
      <c r="B247" s="6" t="s">
        <v>15</v>
      </c>
      <c r="C247" s="6" t="s">
        <v>853</v>
      </c>
      <c r="D247" s="6" t="s">
        <v>854</v>
      </c>
      <c r="E247" s="6" t="s">
        <v>839</v>
      </c>
      <c r="F247" s="6" t="s">
        <v>813</v>
      </c>
      <c r="G247" s="6" t="s">
        <v>855</v>
      </c>
      <c r="H247" s="6" t="s">
        <v>856</v>
      </c>
      <c r="I247" s="6" t="s">
        <v>841</v>
      </c>
      <c r="J247" s="6" t="s">
        <v>842</v>
      </c>
      <c r="K247" s="6" t="s">
        <v>843</v>
      </c>
      <c r="L247" s="6" t="s">
        <v>816</v>
      </c>
      <c r="M247" s="6" t="s">
        <v>817</v>
      </c>
      <c r="N247" s="6" t="s">
        <v>817</v>
      </c>
      <c r="O247" s="6" t="s">
        <v>817</v>
      </c>
      <c r="P247" s="6" t="s">
        <v>817</v>
      </c>
      <c r="Q247" s="6" t="str">
        <f t="shared" si="9"/>
        <v>TA Teams</v>
      </c>
      <c r="R247" s="21"/>
    </row>
    <row r="248" spans="1:18" s="6" customFormat="1" x14ac:dyDescent="0.2">
      <c r="A248" s="3" t="str">
        <f t="shared" si="7"/>
        <v>F7LG</v>
      </c>
      <c r="B248" s="6" t="s">
        <v>23</v>
      </c>
      <c r="C248" s="6" t="s">
        <v>718</v>
      </c>
      <c r="D248" s="6" t="s">
        <v>719</v>
      </c>
      <c r="F248" s="6" t="s">
        <v>720</v>
      </c>
      <c r="G248" s="6" t="s">
        <v>721</v>
      </c>
      <c r="H248" s="6" t="s">
        <v>722</v>
      </c>
      <c r="I248" s="6" t="s">
        <v>18</v>
      </c>
      <c r="J248" s="6" t="s">
        <v>18</v>
      </c>
      <c r="K248" s="6" t="s">
        <v>18</v>
      </c>
      <c r="L248" s="6" t="s">
        <v>723</v>
      </c>
      <c r="M248" s="6" t="s">
        <v>724</v>
      </c>
      <c r="N248" s="6" t="s">
        <v>724</v>
      </c>
      <c r="O248" s="6" t="s">
        <v>724</v>
      </c>
      <c r="P248" s="6" t="s">
        <v>724</v>
      </c>
      <c r="Q248" s="6" t="str">
        <f t="shared" si="9"/>
        <v>Legal Other</v>
      </c>
      <c r="R248" s="21"/>
    </row>
    <row r="249" spans="1:18" s="6" customFormat="1" x14ac:dyDescent="0.2">
      <c r="A249" s="3" t="str">
        <f t="shared" si="7"/>
        <v>F3LF</v>
      </c>
      <c r="B249" s="6" t="s">
        <v>15</v>
      </c>
      <c r="C249" s="6" t="s">
        <v>571</v>
      </c>
      <c r="D249" s="6" t="s">
        <v>572</v>
      </c>
      <c r="F249" s="6" t="s">
        <v>573</v>
      </c>
      <c r="G249" s="6" t="s">
        <v>574</v>
      </c>
      <c r="H249" s="6" t="s">
        <v>574</v>
      </c>
      <c r="I249" s="6" t="s">
        <v>18</v>
      </c>
      <c r="J249" s="6" t="s">
        <v>18</v>
      </c>
      <c r="K249" s="6" t="s">
        <v>18</v>
      </c>
      <c r="L249" s="6" t="s">
        <v>575</v>
      </c>
      <c r="M249" s="6" t="s">
        <v>576</v>
      </c>
      <c r="N249" s="6" t="s">
        <v>576</v>
      </c>
      <c r="O249" s="6" t="s">
        <v>576</v>
      </c>
      <c r="P249" s="6" t="s">
        <v>576</v>
      </c>
      <c r="Q249" s="6" t="str">
        <f t="shared" si="9"/>
        <v>Finance Other</v>
      </c>
      <c r="R249" s="21"/>
    </row>
    <row r="250" spans="1:18" s="6" customFormat="1" x14ac:dyDescent="0.2">
      <c r="A250" s="3" t="str">
        <f t="shared" si="7"/>
        <v>THGR_SUBL1</v>
      </c>
      <c r="B250" s="6" t="s">
        <v>15</v>
      </c>
      <c r="C250" s="6" t="s">
        <v>952</v>
      </c>
      <c r="D250" s="6" t="s">
        <v>953</v>
      </c>
      <c r="E250" s="6" t="s">
        <v>921</v>
      </c>
      <c r="F250" s="6" t="s">
        <v>884</v>
      </c>
      <c r="G250" s="6" t="s">
        <v>954</v>
      </c>
      <c r="H250" s="6" t="s">
        <v>954</v>
      </c>
      <c r="I250" s="6" t="s">
        <v>923</v>
      </c>
      <c r="J250" s="6" t="s">
        <v>924</v>
      </c>
      <c r="K250" s="6" t="s">
        <v>925</v>
      </c>
      <c r="L250" s="6" t="s">
        <v>887</v>
      </c>
      <c r="M250" s="6" t="s">
        <v>888</v>
      </c>
      <c r="N250" s="6" t="s">
        <v>889</v>
      </c>
      <c r="O250" s="6" t="s">
        <v>888</v>
      </c>
      <c r="P250" s="6" t="s">
        <v>889</v>
      </c>
      <c r="Q250" s="6" t="str">
        <f t="shared" si="9"/>
        <v>HR &amp; Talent Mgmt.</v>
      </c>
      <c r="R250" s="21"/>
    </row>
    <row r="251" spans="1:18" s="6" customFormat="1" x14ac:dyDescent="0.2">
      <c r="A251" s="3" t="str">
        <f t="shared" si="7"/>
        <v>RERT_SUBLR</v>
      </c>
      <c r="B251" s="6" t="s">
        <v>15</v>
      </c>
      <c r="C251" s="6" t="s">
        <v>855</v>
      </c>
      <c r="D251" s="6" t="s">
        <v>857</v>
      </c>
      <c r="E251" s="6" t="s">
        <v>839</v>
      </c>
      <c r="F251" s="6" t="s">
        <v>813</v>
      </c>
      <c r="G251" s="6" t="s">
        <v>858</v>
      </c>
      <c r="H251" s="6" t="s">
        <v>858</v>
      </c>
      <c r="I251" s="6" t="s">
        <v>841</v>
      </c>
      <c r="J251" s="6" t="s">
        <v>842</v>
      </c>
      <c r="K251" s="6" t="s">
        <v>843</v>
      </c>
      <c r="L251" s="6" t="s">
        <v>816</v>
      </c>
      <c r="M251" s="6" t="s">
        <v>817</v>
      </c>
      <c r="N251" s="6" t="s">
        <v>817</v>
      </c>
      <c r="O251" s="6" t="s">
        <v>817</v>
      </c>
      <c r="P251" s="6" t="s">
        <v>817</v>
      </c>
      <c r="Q251" s="6" t="str">
        <f t="shared" si="9"/>
        <v>TA Teams</v>
      </c>
      <c r="R251" s="21" t="s">
        <v>1625</v>
      </c>
    </row>
    <row r="252" spans="1:18" s="6" customFormat="1" x14ac:dyDescent="0.2">
      <c r="A252" s="3" t="str">
        <f t="shared" si="7"/>
        <v>RERT_SUBHC</v>
      </c>
      <c r="B252" s="6" t="s">
        <v>23</v>
      </c>
      <c r="C252" s="6" t="s">
        <v>852</v>
      </c>
      <c r="D252" s="6" t="s">
        <v>857</v>
      </c>
      <c r="E252" s="6" t="s">
        <v>839</v>
      </c>
      <c r="F252" s="6" t="s">
        <v>813</v>
      </c>
      <c r="G252" s="6" t="s">
        <v>858</v>
      </c>
      <c r="H252" s="6" t="s">
        <v>858</v>
      </c>
      <c r="I252" s="6" t="s">
        <v>841</v>
      </c>
      <c r="J252" s="6" t="s">
        <v>842</v>
      </c>
      <c r="K252" s="6" t="s">
        <v>843</v>
      </c>
      <c r="L252" s="6" t="s">
        <v>816</v>
      </c>
      <c r="M252" s="6" t="s">
        <v>817</v>
      </c>
      <c r="N252" s="6" t="s">
        <v>817</v>
      </c>
      <c r="O252" s="6" t="s">
        <v>817</v>
      </c>
      <c r="P252" s="6" t="s">
        <v>817</v>
      </c>
      <c r="Q252" s="6" t="str">
        <f t="shared" si="9"/>
        <v>TA Teams</v>
      </c>
      <c r="R252" s="21" t="s">
        <v>1538</v>
      </c>
    </row>
    <row r="253" spans="1:18" s="6" customFormat="1" x14ac:dyDescent="0.2">
      <c r="A253" s="3" t="str">
        <f t="shared" si="7"/>
        <v>THPR_SUBHR</v>
      </c>
      <c r="B253" s="6" t="s">
        <v>15</v>
      </c>
      <c r="C253" s="6" t="s">
        <v>1022</v>
      </c>
      <c r="D253" s="6" t="s">
        <v>1023</v>
      </c>
      <c r="E253" s="6" t="s">
        <v>1016</v>
      </c>
      <c r="F253" s="6" t="s">
        <v>884</v>
      </c>
      <c r="G253" s="6" t="s">
        <v>1024</v>
      </c>
      <c r="H253" s="6" t="s">
        <v>1025</v>
      </c>
      <c r="I253" s="6" t="s">
        <v>1019</v>
      </c>
      <c r="J253" s="6" t="s">
        <v>1020</v>
      </c>
      <c r="K253" s="6" t="s">
        <v>1021</v>
      </c>
      <c r="L253" s="6" t="s">
        <v>887</v>
      </c>
      <c r="M253" s="6" t="s">
        <v>888</v>
      </c>
      <c r="N253" s="6" t="s">
        <v>889</v>
      </c>
      <c r="O253" s="6" t="s">
        <v>888</v>
      </c>
      <c r="P253" s="6" t="s">
        <v>889</v>
      </c>
      <c r="Q253" s="6" t="str">
        <f t="shared" si="9"/>
        <v>Staffing &amp; PM</v>
      </c>
      <c r="R253" s="21"/>
    </row>
    <row r="254" spans="1:18" s="6" customFormat="1" x14ac:dyDescent="0.2">
      <c r="A254" s="3" t="str">
        <f t="shared" si="7"/>
        <v>F3GF_SUBHX</v>
      </c>
      <c r="B254" s="6" t="s">
        <v>15</v>
      </c>
      <c r="C254" s="10" t="s">
        <v>1451</v>
      </c>
      <c r="D254" s="10" t="s">
        <v>1452</v>
      </c>
      <c r="E254" s="6" t="s">
        <v>597</v>
      </c>
      <c r="F254" s="6" t="s">
        <v>573</v>
      </c>
      <c r="G254" s="10" t="s">
        <v>1454</v>
      </c>
      <c r="H254" s="10" t="s">
        <v>1453</v>
      </c>
      <c r="I254" s="6" t="s">
        <v>600</v>
      </c>
      <c r="J254" s="6" t="s">
        <v>601</v>
      </c>
      <c r="K254" s="6" t="s">
        <v>601</v>
      </c>
      <c r="L254" s="6" t="s">
        <v>575</v>
      </c>
      <c r="M254" s="6" t="s">
        <v>576</v>
      </c>
      <c r="N254" s="6" t="s">
        <v>576</v>
      </c>
      <c r="O254" s="6" t="s">
        <v>576</v>
      </c>
      <c r="P254" s="6" t="s">
        <v>576</v>
      </c>
      <c r="Q254" s="6" t="str">
        <f t="shared" si="9"/>
        <v>Global Finance</v>
      </c>
      <c r="R254" s="21"/>
    </row>
    <row r="255" spans="1:18" s="6" customFormat="1" x14ac:dyDescent="0.2">
      <c r="A255" s="3" t="str">
        <f t="shared" si="7"/>
        <v>WUD7</v>
      </c>
      <c r="B255" s="6" t="s">
        <v>15</v>
      </c>
      <c r="C255" s="6" t="s">
        <v>1166</v>
      </c>
      <c r="D255" s="20" t="s">
        <v>1167</v>
      </c>
      <c r="E255" s="3"/>
      <c r="F255" s="20" t="s">
        <v>1156</v>
      </c>
      <c r="G255" s="6" t="s">
        <v>1581</v>
      </c>
      <c r="H255" s="6" t="s">
        <v>1582</v>
      </c>
      <c r="I255" s="3"/>
      <c r="J255" s="3"/>
      <c r="L255" s="6" t="s">
        <v>1158</v>
      </c>
      <c r="M255" s="6" t="s">
        <v>1159</v>
      </c>
      <c r="N255" s="6" t="s">
        <v>1160</v>
      </c>
      <c r="O255" s="6" t="s">
        <v>1159</v>
      </c>
      <c r="P255" s="6" t="s">
        <v>1160</v>
      </c>
      <c r="Q255" s="6" t="str">
        <f t="shared" si="9"/>
        <v>Capability Delivery Other</v>
      </c>
      <c r="R255" s="24" t="s">
        <v>1619</v>
      </c>
    </row>
    <row r="256" spans="1:18" s="6" customFormat="1" x14ac:dyDescent="0.2">
      <c r="A256" s="3" t="str">
        <f t="shared" si="7"/>
        <v>WUBN</v>
      </c>
      <c r="B256" s="6" t="s">
        <v>23</v>
      </c>
      <c r="C256" s="6" t="s">
        <v>340</v>
      </c>
      <c r="D256" s="20" t="s">
        <v>1167</v>
      </c>
      <c r="E256" s="3"/>
      <c r="F256" s="20" t="s">
        <v>1156</v>
      </c>
      <c r="G256" s="6" t="s">
        <v>1581</v>
      </c>
      <c r="H256" s="6" t="s">
        <v>1582</v>
      </c>
      <c r="I256" s="3"/>
      <c r="J256" s="3"/>
      <c r="L256" s="6" t="s">
        <v>1158</v>
      </c>
      <c r="M256" s="6" t="s">
        <v>1159</v>
      </c>
      <c r="N256" s="6" t="s">
        <v>1160</v>
      </c>
      <c r="O256" s="6" t="s">
        <v>1159</v>
      </c>
      <c r="P256" s="6" t="s">
        <v>1160</v>
      </c>
      <c r="Q256" s="6" t="str">
        <f t="shared" si="9"/>
        <v>Capability Delivery Other</v>
      </c>
      <c r="R256" s="21" t="s">
        <v>1618</v>
      </c>
    </row>
    <row r="257" spans="1:18" s="6" customFormat="1" x14ac:dyDescent="0.2">
      <c r="A257" s="3" t="str">
        <f t="shared" si="7"/>
        <v>WUFC</v>
      </c>
      <c r="B257" s="6" t="s">
        <v>23</v>
      </c>
      <c r="C257" s="6" t="s">
        <v>386</v>
      </c>
      <c r="D257" s="20" t="s">
        <v>1167</v>
      </c>
      <c r="E257" s="3"/>
      <c r="F257" s="20" t="s">
        <v>1156</v>
      </c>
      <c r="G257" s="6" t="s">
        <v>1581</v>
      </c>
      <c r="H257" s="6" t="s">
        <v>1582</v>
      </c>
      <c r="I257" s="3"/>
      <c r="J257" s="3"/>
      <c r="L257" s="6" t="s">
        <v>1158</v>
      </c>
      <c r="M257" s="6" t="s">
        <v>1159</v>
      </c>
      <c r="N257" s="6" t="s">
        <v>1160</v>
      </c>
      <c r="O257" s="6" t="s">
        <v>1159</v>
      </c>
      <c r="P257" s="6" t="s">
        <v>1160</v>
      </c>
      <c r="Q257" s="6" t="str">
        <f t="shared" si="9"/>
        <v>Capability Delivery Other</v>
      </c>
      <c r="R257" s="21" t="s">
        <v>1618</v>
      </c>
    </row>
    <row r="258" spans="1:18" s="6" customFormat="1" x14ac:dyDescent="0.2">
      <c r="A258" s="3" t="str">
        <f t="shared" ref="A258:A321" si="10">_xlfn.CONCAT(L258,I258,C258)</f>
        <v>F15SP_SUBP1</v>
      </c>
      <c r="B258" s="6" t="s">
        <v>15</v>
      </c>
      <c r="C258" s="6" t="s">
        <v>395</v>
      </c>
      <c r="D258" s="20" t="s">
        <v>1674</v>
      </c>
      <c r="E258" s="3" t="s">
        <v>337</v>
      </c>
      <c r="F258" s="20" t="s">
        <v>314</v>
      </c>
      <c r="G258" s="6" t="s">
        <v>1676</v>
      </c>
      <c r="H258" s="6" t="s">
        <v>1675</v>
      </c>
      <c r="I258" s="3" t="s">
        <v>338</v>
      </c>
      <c r="J258" s="6" t="s">
        <v>339</v>
      </c>
      <c r="K258" s="6" t="s">
        <v>339</v>
      </c>
      <c r="L258" s="6" t="s">
        <v>317</v>
      </c>
      <c r="M258" s="6" t="s">
        <v>318</v>
      </c>
      <c r="N258" s="6" t="s">
        <v>319</v>
      </c>
      <c r="O258" s="6" t="s">
        <v>318</v>
      </c>
      <c r="P258" s="6" t="s">
        <v>319</v>
      </c>
      <c r="Q258" s="6" t="str">
        <f t="shared" si="9"/>
        <v>Practice Teams</v>
      </c>
      <c r="R258" s="21" t="s">
        <v>1618</v>
      </c>
    </row>
    <row r="259" spans="1:18" s="6" customFormat="1" x14ac:dyDescent="0.2">
      <c r="A259" s="3" t="str">
        <f t="shared" si="10"/>
        <v>F10MR_SUBSM</v>
      </c>
      <c r="B259" s="6" t="s">
        <v>15</v>
      </c>
      <c r="C259" s="6" t="s">
        <v>1572</v>
      </c>
      <c r="D259" s="6" t="s">
        <v>307</v>
      </c>
      <c r="E259" s="6" t="s">
        <v>292</v>
      </c>
      <c r="F259" s="6" t="s">
        <v>189</v>
      </c>
      <c r="G259" s="6" t="s">
        <v>295</v>
      </c>
      <c r="H259" s="6" t="s">
        <v>295</v>
      </c>
      <c r="I259" s="20" t="s">
        <v>294</v>
      </c>
      <c r="J259" s="6" t="s">
        <v>295</v>
      </c>
      <c r="K259" s="6" t="s">
        <v>295</v>
      </c>
      <c r="L259" s="7" t="s">
        <v>191</v>
      </c>
      <c r="M259" s="6" t="s">
        <v>192</v>
      </c>
      <c r="N259" s="6" t="s">
        <v>192</v>
      </c>
      <c r="O259" s="6" t="s">
        <v>192</v>
      </c>
      <c r="P259" s="6" t="s">
        <v>192</v>
      </c>
      <c r="Q259" s="6" t="str">
        <f t="shared" si="9"/>
        <v>Market Reputation</v>
      </c>
      <c r="R259" s="21"/>
    </row>
    <row r="260" spans="1:18" s="6" customFormat="1" x14ac:dyDescent="0.2">
      <c r="A260" s="3" t="str">
        <f t="shared" si="10"/>
        <v>F10XX_MAR</v>
      </c>
      <c r="B260" s="6" t="s">
        <v>23</v>
      </c>
      <c r="C260" s="6" t="s">
        <v>210</v>
      </c>
      <c r="D260" s="6" t="s">
        <v>211</v>
      </c>
      <c r="F260" s="6" t="s">
        <v>189</v>
      </c>
      <c r="G260" s="6" t="s">
        <v>211</v>
      </c>
      <c r="H260" s="6" t="s">
        <v>211</v>
      </c>
      <c r="I260" s="6" t="s">
        <v>18</v>
      </c>
      <c r="J260" s="6" t="s">
        <v>18</v>
      </c>
      <c r="K260" s="6" t="s">
        <v>18</v>
      </c>
      <c r="L260" s="6" t="s">
        <v>191</v>
      </c>
      <c r="M260" s="6" t="s">
        <v>192</v>
      </c>
      <c r="N260" s="6" t="s">
        <v>192</v>
      </c>
      <c r="O260" s="6" t="s">
        <v>192</v>
      </c>
      <c r="P260" s="6" t="s">
        <v>192</v>
      </c>
      <c r="Q260" s="6" t="str">
        <f t="shared" si="9"/>
        <v>Marketing Other</v>
      </c>
      <c r="R260" s="21"/>
    </row>
    <row r="261" spans="1:18" s="6" customFormat="1" x14ac:dyDescent="0.2">
      <c r="A261" s="3" t="str">
        <f t="shared" si="10"/>
        <v>F10DM_SUBWK</v>
      </c>
      <c r="B261" s="6" t="s">
        <v>15</v>
      </c>
      <c r="C261" s="6" t="s">
        <v>265</v>
      </c>
      <c r="D261" s="6" t="s">
        <v>266</v>
      </c>
      <c r="E261" s="6" t="s">
        <v>253</v>
      </c>
      <c r="F261" s="6" t="s">
        <v>189</v>
      </c>
      <c r="G261" s="6" t="s">
        <v>267</v>
      </c>
      <c r="H261" s="6" t="s">
        <v>267</v>
      </c>
      <c r="I261" s="6" t="s">
        <v>255</v>
      </c>
      <c r="J261" s="6" t="s">
        <v>256</v>
      </c>
      <c r="K261" s="6" t="s">
        <v>256</v>
      </c>
      <c r="L261" s="6" t="s">
        <v>191</v>
      </c>
      <c r="M261" s="6" t="s">
        <v>192</v>
      </c>
      <c r="N261" s="6" t="s">
        <v>192</v>
      </c>
      <c r="O261" s="6" t="s">
        <v>192</v>
      </c>
      <c r="P261" s="6" t="s">
        <v>192</v>
      </c>
      <c r="Q261" s="6" t="str">
        <f t="shared" si="9"/>
        <v>Digital Marketing</v>
      </c>
      <c r="R261" s="21"/>
    </row>
    <row r="262" spans="1:18" s="6" customFormat="1" x14ac:dyDescent="0.2">
      <c r="A262" s="3" t="str">
        <f t="shared" si="10"/>
        <v>F10EA_SUBCX</v>
      </c>
      <c r="B262" s="6" t="s">
        <v>15</v>
      </c>
      <c r="C262" s="6" t="s">
        <v>273</v>
      </c>
      <c r="D262" s="6" t="s">
        <v>274</v>
      </c>
      <c r="E262" s="6" t="s">
        <v>270</v>
      </c>
      <c r="F262" s="6" t="s">
        <v>189</v>
      </c>
      <c r="G262" s="6" t="s">
        <v>275</v>
      </c>
      <c r="H262" s="6" t="s">
        <v>275</v>
      </c>
      <c r="I262" s="6" t="s">
        <v>271</v>
      </c>
      <c r="J262" s="6" t="s">
        <v>272</v>
      </c>
      <c r="K262" s="6" t="s">
        <v>272</v>
      </c>
      <c r="L262" s="6" t="s">
        <v>191</v>
      </c>
      <c r="M262" s="6" t="s">
        <v>192</v>
      </c>
      <c r="N262" s="6" t="s">
        <v>192</v>
      </c>
      <c r="O262" s="6" t="s">
        <v>192</v>
      </c>
      <c r="P262" s="6" t="s">
        <v>192</v>
      </c>
      <c r="Q262" s="6" t="str">
        <f t="shared" ref="Q262:Q293" si="11">IF(J262&lt;&gt;"",J262,_xlfn.CONCAT(O262," Other"))</f>
        <v>External Affairs</v>
      </c>
      <c r="R262" s="21"/>
    </row>
    <row r="263" spans="1:18" s="6" customFormat="1" x14ac:dyDescent="0.2">
      <c r="A263" s="3" t="str">
        <f t="shared" si="10"/>
        <v>F10OD</v>
      </c>
      <c r="B263" s="6" t="s">
        <v>23</v>
      </c>
      <c r="C263" s="6" t="s">
        <v>204</v>
      </c>
      <c r="D263" s="6" t="s">
        <v>205</v>
      </c>
      <c r="F263" s="6" t="s">
        <v>189</v>
      </c>
      <c r="G263" s="6" t="s">
        <v>206</v>
      </c>
      <c r="H263" s="6" t="s">
        <v>206</v>
      </c>
      <c r="I263" s="6" t="s">
        <v>18</v>
      </c>
      <c r="J263" s="6" t="s">
        <v>18</v>
      </c>
      <c r="K263" s="6" t="s">
        <v>18</v>
      </c>
      <c r="L263" s="6" t="s">
        <v>191</v>
      </c>
      <c r="M263" s="6" t="s">
        <v>192</v>
      </c>
      <c r="N263" s="6" t="s">
        <v>192</v>
      </c>
      <c r="O263" s="6" t="s">
        <v>192</v>
      </c>
      <c r="P263" s="6" t="s">
        <v>192</v>
      </c>
      <c r="Q263" s="6" t="str">
        <f t="shared" si="11"/>
        <v>Marketing Other</v>
      </c>
      <c r="R263" s="21"/>
    </row>
    <row r="264" spans="1:18" s="6" customFormat="1" x14ac:dyDescent="0.2">
      <c r="A264" s="3" t="str">
        <f t="shared" si="10"/>
        <v>F2EC_SUBM3</v>
      </c>
      <c r="B264" s="6" t="s">
        <v>15</v>
      </c>
      <c r="C264" s="6" t="s">
        <v>535</v>
      </c>
      <c r="D264" s="6" t="s">
        <v>536</v>
      </c>
      <c r="E264" s="6" t="s">
        <v>504</v>
      </c>
      <c r="F264" s="6" t="s">
        <v>505</v>
      </c>
      <c r="G264" s="6" t="s">
        <v>1391</v>
      </c>
      <c r="H264" s="6" t="s">
        <v>537</v>
      </c>
      <c r="I264" s="6" t="s">
        <v>507</v>
      </c>
      <c r="J264" s="6" t="s">
        <v>508</v>
      </c>
      <c r="K264" s="6" t="s">
        <v>509</v>
      </c>
      <c r="L264" s="6" t="s">
        <v>492</v>
      </c>
      <c r="M264" s="6" t="s">
        <v>493</v>
      </c>
      <c r="N264" s="6" t="s">
        <v>493</v>
      </c>
      <c r="O264" s="6" t="s">
        <v>510</v>
      </c>
      <c r="P264" s="6" t="s">
        <v>511</v>
      </c>
      <c r="Q264" s="6" t="str">
        <f t="shared" si="11"/>
        <v>Expert Cons.</v>
      </c>
      <c r="R264" s="21"/>
    </row>
    <row r="265" spans="1:18" s="6" customFormat="1" x14ac:dyDescent="0.2">
      <c r="A265" s="3" t="str">
        <f t="shared" si="10"/>
        <v>F15SP_SUBP5</v>
      </c>
      <c r="B265" s="6" t="s">
        <v>15</v>
      </c>
      <c r="C265" s="6" t="s">
        <v>409</v>
      </c>
      <c r="D265" s="6" t="s">
        <v>410</v>
      </c>
      <c r="E265" s="6" t="s">
        <v>337</v>
      </c>
      <c r="F265" s="6" t="s">
        <v>314</v>
      </c>
      <c r="G265" s="6" t="s">
        <v>411</v>
      </c>
      <c r="H265" s="6" t="s">
        <v>412</v>
      </c>
      <c r="I265" s="6" t="s">
        <v>338</v>
      </c>
      <c r="J265" s="6" t="s">
        <v>339</v>
      </c>
      <c r="K265" s="6" t="s">
        <v>339</v>
      </c>
      <c r="L265" s="6" t="s">
        <v>317</v>
      </c>
      <c r="M265" s="6" t="s">
        <v>318</v>
      </c>
      <c r="N265" s="6" t="s">
        <v>319</v>
      </c>
      <c r="O265" s="6" t="s">
        <v>318</v>
      </c>
      <c r="P265" s="6" t="s">
        <v>319</v>
      </c>
      <c r="Q265" s="6" t="str">
        <f t="shared" si="11"/>
        <v>Practice Teams</v>
      </c>
      <c r="R265" s="21"/>
    </row>
    <row r="266" spans="1:18" s="6" customFormat="1" x14ac:dyDescent="0.2">
      <c r="A266" s="3" t="str">
        <f t="shared" si="10"/>
        <v>WUHK</v>
      </c>
      <c r="B266" s="6" t="s">
        <v>15</v>
      </c>
      <c r="C266" s="6" t="s">
        <v>1419</v>
      </c>
      <c r="D266" s="6" t="s">
        <v>1405</v>
      </c>
      <c r="F266" s="7" t="s">
        <v>1156</v>
      </c>
      <c r="G266" s="6" t="s">
        <v>1406</v>
      </c>
      <c r="H266" s="6" t="s">
        <v>1406</v>
      </c>
      <c r="I266" s="6" t="s">
        <v>18</v>
      </c>
      <c r="J266" s="6" t="s">
        <v>18</v>
      </c>
      <c r="K266" s="6" t="s">
        <v>18</v>
      </c>
      <c r="L266" s="6" t="s">
        <v>1158</v>
      </c>
      <c r="M266" s="6" t="s">
        <v>1159</v>
      </c>
      <c r="N266" s="6" t="s">
        <v>1160</v>
      </c>
      <c r="O266" s="6" t="s">
        <v>1159</v>
      </c>
      <c r="P266" s="6" t="s">
        <v>1160</v>
      </c>
      <c r="Q266" s="6" t="str">
        <f t="shared" si="11"/>
        <v>Capability Delivery Other</v>
      </c>
      <c r="R266" s="21"/>
    </row>
    <row r="267" spans="1:18" s="6" customFormat="1" x14ac:dyDescent="0.2">
      <c r="A267" s="3" t="str">
        <f t="shared" si="10"/>
        <v>F18NG_SUBG1</v>
      </c>
      <c r="B267" s="6" t="s">
        <v>23</v>
      </c>
      <c r="C267" s="6" t="s">
        <v>469</v>
      </c>
      <c r="D267" s="6" t="s">
        <v>470</v>
      </c>
      <c r="E267" s="6" t="s">
        <v>471</v>
      </c>
      <c r="F267" s="6" t="s">
        <v>1304</v>
      </c>
      <c r="G267" s="6" t="s">
        <v>472</v>
      </c>
      <c r="H267" s="6" t="s">
        <v>473</v>
      </c>
      <c r="I267" s="6" t="s">
        <v>474</v>
      </c>
      <c r="J267" s="6" t="s">
        <v>475</v>
      </c>
      <c r="K267" s="6" t="s">
        <v>476</v>
      </c>
      <c r="L267" s="6" t="s">
        <v>447</v>
      </c>
      <c r="M267" s="6" t="s">
        <v>1420</v>
      </c>
      <c r="N267" s="6" t="s">
        <v>1305</v>
      </c>
      <c r="O267" s="6" t="s">
        <v>1420</v>
      </c>
      <c r="P267" s="6" t="s">
        <v>1305</v>
      </c>
      <c r="Q267" s="6" t="str">
        <f t="shared" si="11"/>
        <v>Next Gen</v>
      </c>
      <c r="R267" s="21"/>
    </row>
    <row r="268" spans="1:18" s="6" customFormat="1" x14ac:dyDescent="0.2">
      <c r="A268" s="3" t="str">
        <f t="shared" si="10"/>
        <v>F18NG_SUBG3</v>
      </c>
      <c r="B268" s="6" t="s">
        <v>23</v>
      </c>
      <c r="C268" s="6" t="s">
        <v>478</v>
      </c>
      <c r="D268" s="6" t="s">
        <v>479</v>
      </c>
      <c r="E268" s="6" t="s">
        <v>471</v>
      </c>
      <c r="F268" s="6" t="s">
        <v>1304</v>
      </c>
      <c r="G268" s="6" t="s">
        <v>480</v>
      </c>
      <c r="H268" s="6" t="s">
        <v>481</v>
      </c>
      <c r="I268" s="6" t="s">
        <v>474</v>
      </c>
      <c r="J268" s="6" t="s">
        <v>475</v>
      </c>
      <c r="K268" s="6" t="s">
        <v>476</v>
      </c>
      <c r="L268" s="6" t="s">
        <v>447</v>
      </c>
      <c r="M268" s="6" t="s">
        <v>1420</v>
      </c>
      <c r="N268" s="6" t="s">
        <v>1305</v>
      </c>
      <c r="O268" s="6" t="s">
        <v>1420</v>
      </c>
      <c r="P268" s="6" t="s">
        <v>1305</v>
      </c>
      <c r="Q268" s="6" t="str">
        <f t="shared" si="11"/>
        <v>Next Gen</v>
      </c>
      <c r="R268" s="21"/>
    </row>
    <row r="269" spans="1:18" s="6" customFormat="1" x14ac:dyDescent="0.2">
      <c r="A269" s="3" t="str">
        <f t="shared" si="10"/>
        <v>BSLNPPNP</v>
      </c>
      <c r="B269" s="6" t="s">
        <v>15</v>
      </c>
      <c r="C269" s="7" t="s">
        <v>146</v>
      </c>
      <c r="D269" s="7" t="s">
        <v>147</v>
      </c>
      <c r="E269" s="7" t="s">
        <v>148</v>
      </c>
      <c r="F269" s="7" t="s">
        <v>149</v>
      </c>
      <c r="G269" s="6" t="s">
        <v>150</v>
      </c>
      <c r="H269" s="6" t="s">
        <v>150</v>
      </c>
      <c r="I269" s="7" t="s">
        <v>151</v>
      </c>
      <c r="J269" s="7" t="s">
        <v>150</v>
      </c>
      <c r="K269" s="7" t="s">
        <v>150</v>
      </c>
      <c r="L269" s="7" t="s">
        <v>152</v>
      </c>
      <c r="M269" s="6" t="s">
        <v>152</v>
      </c>
      <c r="N269" s="6" t="s">
        <v>153</v>
      </c>
      <c r="O269" s="6" t="s">
        <v>152</v>
      </c>
      <c r="P269" s="6" t="s">
        <v>153</v>
      </c>
      <c r="Q269" s="6" t="str">
        <f t="shared" si="11"/>
        <v>NPS Prism</v>
      </c>
      <c r="R269" s="21"/>
    </row>
    <row r="270" spans="1:18" s="6" customFormat="1" x14ac:dyDescent="0.2">
      <c r="A270" s="3" t="str">
        <f t="shared" si="10"/>
        <v>WUNI</v>
      </c>
      <c r="B270" s="6" t="s">
        <v>23</v>
      </c>
      <c r="C270" s="6" t="s">
        <v>1168</v>
      </c>
      <c r="D270" s="6" t="s">
        <v>1537</v>
      </c>
      <c r="F270" s="7" t="s">
        <v>1156</v>
      </c>
      <c r="G270" s="6" t="s">
        <v>1445</v>
      </c>
      <c r="H270" s="6" t="s">
        <v>1445</v>
      </c>
      <c r="I270" s="6" t="s">
        <v>18</v>
      </c>
      <c r="J270" s="6" t="s">
        <v>18</v>
      </c>
      <c r="K270" s="6" t="s">
        <v>18</v>
      </c>
      <c r="L270" s="6" t="s">
        <v>1158</v>
      </c>
      <c r="M270" s="6" t="s">
        <v>1159</v>
      </c>
      <c r="N270" s="6" t="s">
        <v>1160</v>
      </c>
      <c r="O270" s="6" t="s">
        <v>1159</v>
      </c>
      <c r="P270" s="6" t="s">
        <v>1160</v>
      </c>
      <c r="Q270" s="6" t="str">
        <f t="shared" si="11"/>
        <v>Capability Delivery Other</v>
      </c>
      <c r="R270" s="21"/>
    </row>
    <row r="271" spans="1:18" s="6" customFormat="1" x14ac:dyDescent="0.2">
      <c r="A271" s="3" t="str">
        <f t="shared" si="10"/>
        <v>GDMT_SUBRD</v>
      </c>
      <c r="B271" s="6" t="s">
        <v>15</v>
      </c>
      <c r="C271" s="6" t="s">
        <v>768</v>
      </c>
      <c r="D271" s="6" t="s">
        <v>769</v>
      </c>
      <c r="E271" s="6" t="s">
        <v>1429</v>
      </c>
      <c r="F271" s="6" t="s">
        <v>756</v>
      </c>
      <c r="G271" s="6" t="s">
        <v>770</v>
      </c>
      <c r="H271" s="6" t="s">
        <v>770</v>
      </c>
      <c r="I271" s="6" t="s">
        <v>1430</v>
      </c>
      <c r="J271" s="6" t="s">
        <v>1432</v>
      </c>
      <c r="K271" s="6" t="s">
        <v>1431</v>
      </c>
      <c r="L271" s="6" t="s">
        <v>758</v>
      </c>
      <c r="M271" s="6" t="s">
        <v>759</v>
      </c>
      <c r="N271" s="6" t="s">
        <v>760</v>
      </c>
      <c r="O271" s="6" t="s">
        <v>759</v>
      </c>
      <c r="P271" s="6" t="s">
        <v>760</v>
      </c>
      <c r="Q271" s="6" t="str">
        <f t="shared" si="11"/>
        <v>WWMP &amp; RMP</v>
      </c>
      <c r="R271" s="21"/>
    </row>
    <row r="272" spans="1:18" s="6" customFormat="1" x14ac:dyDescent="0.2">
      <c r="A272" s="3" t="str">
        <f t="shared" si="10"/>
        <v>GDMT_SUBMD</v>
      </c>
      <c r="B272" s="6" t="s">
        <v>15</v>
      </c>
      <c r="C272" s="6" t="s">
        <v>761</v>
      </c>
      <c r="D272" s="6" t="s">
        <v>762</v>
      </c>
      <c r="E272" s="6" t="s">
        <v>1429</v>
      </c>
      <c r="F272" s="6" t="s">
        <v>756</v>
      </c>
      <c r="G272" s="6" t="s">
        <v>763</v>
      </c>
      <c r="H272" s="6" t="s">
        <v>763</v>
      </c>
      <c r="I272" s="6" t="s">
        <v>1430</v>
      </c>
      <c r="J272" s="6" t="s">
        <v>1432</v>
      </c>
      <c r="K272" s="6" t="s">
        <v>1431</v>
      </c>
      <c r="L272" s="6" t="s">
        <v>758</v>
      </c>
      <c r="M272" s="6" t="s">
        <v>759</v>
      </c>
      <c r="N272" s="6" t="s">
        <v>760</v>
      </c>
      <c r="O272" s="6" t="s">
        <v>759</v>
      </c>
      <c r="P272" s="6" t="s">
        <v>760</v>
      </c>
      <c r="Q272" s="6" t="str">
        <f t="shared" si="11"/>
        <v>WWMP &amp; RMP</v>
      </c>
      <c r="R272" s="21"/>
    </row>
    <row r="273" spans="1:18" s="6" customFormat="1" x14ac:dyDescent="0.2">
      <c r="A273" s="3" t="str">
        <f t="shared" si="10"/>
        <v>F4CS_SUBXA</v>
      </c>
      <c r="B273" s="6" t="s">
        <v>15</v>
      </c>
      <c r="C273" s="6" t="s">
        <v>246</v>
      </c>
      <c r="D273" s="6" t="s">
        <v>247</v>
      </c>
      <c r="E273" s="6" t="s">
        <v>236</v>
      </c>
      <c r="F273" s="6" t="s">
        <v>680</v>
      </c>
      <c r="G273" s="6" t="s">
        <v>248</v>
      </c>
      <c r="H273" s="6" t="s">
        <v>248</v>
      </c>
      <c r="I273" s="6" t="s">
        <v>238</v>
      </c>
      <c r="J273" s="6" t="s">
        <v>239</v>
      </c>
      <c r="K273" s="6" t="s">
        <v>239</v>
      </c>
      <c r="L273" s="6" t="s">
        <v>686</v>
      </c>
      <c r="M273" s="6" t="s">
        <v>687</v>
      </c>
      <c r="N273" s="6" t="s">
        <v>688</v>
      </c>
      <c r="O273" s="6" t="s">
        <v>687</v>
      </c>
      <c r="P273" s="6" t="s">
        <v>688</v>
      </c>
      <c r="Q273" s="6" t="str">
        <f t="shared" si="11"/>
        <v>Creative Services</v>
      </c>
      <c r="R273" s="21"/>
    </row>
    <row r="274" spans="1:18" s="6" customFormat="1" x14ac:dyDescent="0.2">
      <c r="A274" s="3" t="str">
        <f t="shared" si="10"/>
        <v>VFSR_SUBDF</v>
      </c>
      <c r="B274" s="6" t="s">
        <v>23</v>
      </c>
      <c r="C274" s="6" t="s">
        <v>1123</v>
      </c>
      <c r="D274" s="6" t="s">
        <v>1124</v>
      </c>
      <c r="E274" s="6" t="s">
        <v>1119</v>
      </c>
      <c r="F274" s="6" t="s">
        <v>1073</v>
      </c>
      <c r="G274" s="6" t="s">
        <v>1125</v>
      </c>
      <c r="H274" s="6" t="s">
        <v>1125</v>
      </c>
      <c r="I274" s="6" t="s">
        <v>1121</v>
      </c>
      <c r="J274" s="6" t="s">
        <v>1122</v>
      </c>
      <c r="K274" s="6" t="s">
        <v>1122</v>
      </c>
      <c r="L274" s="6" t="s">
        <v>1076</v>
      </c>
      <c r="M274" s="6" t="s">
        <v>1077</v>
      </c>
      <c r="N274" s="6" t="s">
        <v>1078</v>
      </c>
      <c r="O274" s="6" t="s">
        <v>1077</v>
      </c>
      <c r="P274" s="6" t="s">
        <v>1078</v>
      </c>
      <c r="Q274" s="6" t="str">
        <f t="shared" si="11"/>
        <v>PEG Innovation</v>
      </c>
      <c r="R274" s="21"/>
    </row>
    <row r="275" spans="1:18" s="6" customFormat="1" x14ac:dyDescent="0.2">
      <c r="A275" s="3" t="str">
        <f t="shared" si="10"/>
        <v>F15SP_SUBP3</v>
      </c>
      <c r="B275" s="6" t="s">
        <v>15</v>
      </c>
      <c r="C275" s="6" t="s">
        <v>401</v>
      </c>
      <c r="D275" s="6" t="s">
        <v>402</v>
      </c>
      <c r="E275" s="6" t="s">
        <v>337</v>
      </c>
      <c r="F275" s="6" t="s">
        <v>314</v>
      </c>
      <c r="G275" s="6" t="s">
        <v>403</v>
      </c>
      <c r="H275" s="6" t="s">
        <v>404</v>
      </c>
      <c r="I275" s="6" t="s">
        <v>338</v>
      </c>
      <c r="J275" s="6" t="s">
        <v>339</v>
      </c>
      <c r="K275" s="6" t="s">
        <v>339</v>
      </c>
      <c r="L275" s="6" t="s">
        <v>317</v>
      </c>
      <c r="M275" s="6" t="s">
        <v>318</v>
      </c>
      <c r="N275" s="6" t="s">
        <v>319</v>
      </c>
      <c r="O275" s="6" t="s">
        <v>318</v>
      </c>
      <c r="P275" s="6" t="s">
        <v>319</v>
      </c>
      <c r="Q275" s="6" t="str">
        <f t="shared" si="11"/>
        <v>Practice Teams</v>
      </c>
      <c r="R275" s="21" t="s">
        <v>1795</v>
      </c>
    </row>
    <row r="276" spans="1:18" s="6" customFormat="1" x14ac:dyDescent="0.2">
      <c r="A276" s="3" t="str">
        <f t="shared" si="10"/>
        <v>F12NEW_GC_SUB10</v>
      </c>
      <c r="B276" s="3" t="s">
        <v>15</v>
      </c>
      <c r="C276" s="3" t="s">
        <v>308</v>
      </c>
      <c r="D276" s="3" t="s">
        <v>309</v>
      </c>
      <c r="E276" s="3" t="s">
        <v>175</v>
      </c>
      <c r="F276" s="3" t="s">
        <v>176</v>
      </c>
      <c r="G276" s="3" t="s">
        <v>310</v>
      </c>
      <c r="H276" s="3" t="s">
        <v>310</v>
      </c>
      <c r="I276" s="3" t="s">
        <v>178</v>
      </c>
      <c r="J276" s="3" t="s">
        <v>179</v>
      </c>
      <c r="K276" s="3" t="s">
        <v>180</v>
      </c>
      <c r="L276" s="3" t="s">
        <v>311</v>
      </c>
      <c r="M276" s="3" t="s">
        <v>310</v>
      </c>
      <c r="N276" s="3" t="s">
        <v>310</v>
      </c>
      <c r="O276" s="3" t="s">
        <v>183</v>
      </c>
      <c r="P276" s="3" t="s">
        <v>180</v>
      </c>
      <c r="Q276" s="6" t="str">
        <f t="shared" si="11"/>
        <v>Gen. Cons.</v>
      </c>
      <c r="R276" s="21"/>
    </row>
    <row r="277" spans="1:18" s="6" customFormat="1" x14ac:dyDescent="0.2">
      <c r="A277" s="3" t="str">
        <f t="shared" si="10"/>
        <v>VFSR_SUBWS</v>
      </c>
      <c r="B277" s="6" t="s">
        <v>15</v>
      </c>
      <c r="C277" s="6" t="s">
        <v>1143</v>
      </c>
      <c r="D277" s="6" t="s">
        <v>1144</v>
      </c>
      <c r="E277" s="6" t="s">
        <v>1119</v>
      </c>
      <c r="F277" s="6" t="s">
        <v>1073</v>
      </c>
      <c r="G277" s="6" t="s">
        <v>1122</v>
      </c>
      <c r="H277" s="6" t="s">
        <v>1122</v>
      </c>
      <c r="I277" s="6" t="s">
        <v>1121</v>
      </c>
      <c r="J277" s="6" t="s">
        <v>1122</v>
      </c>
      <c r="K277" s="6" t="s">
        <v>1122</v>
      </c>
      <c r="L277" s="6" t="s">
        <v>1076</v>
      </c>
      <c r="M277" s="6" t="s">
        <v>1077</v>
      </c>
      <c r="N277" s="6" t="s">
        <v>1078</v>
      </c>
      <c r="O277" s="6" t="s">
        <v>1077</v>
      </c>
      <c r="P277" s="6" t="s">
        <v>1078</v>
      </c>
      <c r="Q277" s="6" t="str">
        <f t="shared" si="11"/>
        <v>PEG Innovation</v>
      </c>
      <c r="R277" s="21"/>
    </row>
    <row r="278" spans="1:18" s="6" customFormat="1" x14ac:dyDescent="0.2">
      <c r="A278" s="3" t="str">
        <f t="shared" si="10"/>
        <v>VFSR_SUBPH</v>
      </c>
      <c r="B278" s="6" t="s">
        <v>23</v>
      </c>
      <c r="C278" s="6" t="s">
        <v>1134</v>
      </c>
      <c r="D278" s="6" t="s">
        <v>1135</v>
      </c>
      <c r="E278" s="6" t="s">
        <v>1119</v>
      </c>
      <c r="F278" s="6" t="s">
        <v>1073</v>
      </c>
      <c r="G278" s="6" t="s">
        <v>1136</v>
      </c>
      <c r="H278" s="6" t="s">
        <v>1136</v>
      </c>
      <c r="I278" s="6" t="s">
        <v>1121</v>
      </c>
      <c r="J278" s="6" t="s">
        <v>1122</v>
      </c>
      <c r="K278" s="6" t="s">
        <v>1122</v>
      </c>
      <c r="L278" s="6" t="s">
        <v>1076</v>
      </c>
      <c r="M278" s="6" t="s">
        <v>1077</v>
      </c>
      <c r="N278" s="6" t="s">
        <v>1078</v>
      </c>
      <c r="O278" s="6" t="s">
        <v>1077</v>
      </c>
      <c r="P278" s="6" t="s">
        <v>1078</v>
      </c>
      <c r="Q278" s="6" t="str">
        <f t="shared" si="11"/>
        <v>PEG Innovation</v>
      </c>
      <c r="R278" s="21"/>
    </row>
    <row r="279" spans="1:18" s="6" customFormat="1" x14ac:dyDescent="0.2">
      <c r="A279" s="3" t="str">
        <f t="shared" si="10"/>
        <v>VFSR_SUBVA</v>
      </c>
      <c r="B279" s="6" t="s">
        <v>23</v>
      </c>
      <c r="C279" s="6" t="s">
        <v>1137</v>
      </c>
      <c r="D279" s="6" t="s">
        <v>1138</v>
      </c>
      <c r="E279" s="6" t="s">
        <v>1119</v>
      </c>
      <c r="F279" s="6" t="s">
        <v>1073</v>
      </c>
      <c r="G279" s="6" t="s">
        <v>1139</v>
      </c>
      <c r="H279" s="6" t="s">
        <v>1139</v>
      </c>
      <c r="I279" s="6" t="s">
        <v>1121</v>
      </c>
      <c r="J279" s="6" t="s">
        <v>1122</v>
      </c>
      <c r="K279" s="6" t="s">
        <v>1122</v>
      </c>
      <c r="L279" s="6" t="s">
        <v>1076</v>
      </c>
      <c r="M279" s="6" t="s">
        <v>1077</v>
      </c>
      <c r="N279" s="6" t="s">
        <v>1078</v>
      </c>
      <c r="O279" s="6" t="s">
        <v>1077</v>
      </c>
      <c r="P279" s="6" t="s">
        <v>1078</v>
      </c>
      <c r="Q279" s="6" t="str">
        <f t="shared" si="11"/>
        <v>PEG Innovation</v>
      </c>
      <c r="R279" s="21"/>
    </row>
    <row r="280" spans="1:18" s="6" customFormat="1" x14ac:dyDescent="0.2">
      <c r="A280" s="3" t="str">
        <f t="shared" si="10"/>
        <v>VFSR_SUBWE</v>
      </c>
      <c r="B280" s="6" t="s">
        <v>23</v>
      </c>
      <c r="C280" s="6" t="s">
        <v>1140</v>
      </c>
      <c r="D280" s="6" t="s">
        <v>1141</v>
      </c>
      <c r="E280" s="6" t="s">
        <v>1119</v>
      </c>
      <c r="F280" s="6" t="s">
        <v>1073</v>
      </c>
      <c r="G280" s="6" t="s">
        <v>1142</v>
      </c>
      <c r="H280" s="6" t="s">
        <v>1142</v>
      </c>
      <c r="I280" s="6" t="s">
        <v>1121</v>
      </c>
      <c r="J280" s="6" t="s">
        <v>1122</v>
      </c>
      <c r="K280" s="6" t="s">
        <v>1122</v>
      </c>
      <c r="L280" s="6" t="s">
        <v>1076</v>
      </c>
      <c r="M280" s="6" t="s">
        <v>1077</v>
      </c>
      <c r="N280" s="6" t="s">
        <v>1078</v>
      </c>
      <c r="O280" s="6" t="s">
        <v>1077</v>
      </c>
      <c r="P280" s="6" t="s">
        <v>1078</v>
      </c>
      <c r="Q280" s="6" t="str">
        <f t="shared" si="11"/>
        <v>PEG Innovation</v>
      </c>
      <c r="R280" s="21"/>
    </row>
    <row r="281" spans="1:18" s="6" customFormat="1" x14ac:dyDescent="0.2">
      <c r="A281" s="3" t="str">
        <f t="shared" si="10"/>
        <v>F2EC_SUBM4</v>
      </c>
      <c r="B281" s="6" t="s">
        <v>15</v>
      </c>
      <c r="C281" s="6" t="s">
        <v>538</v>
      </c>
      <c r="D281" s="31" t="s">
        <v>1664</v>
      </c>
      <c r="E281" s="6" t="s">
        <v>504</v>
      </c>
      <c r="F281" s="6" t="s">
        <v>505</v>
      </c>
      <c r="G281" s="6" t="s">
        <v>1659</v>
      </c>
      <c r="H281" s="6" t="s">
        <v>1660</v>
      </c>
      <c r="I281" s="6" t="s">
        <v>507</v>
      </c>
      <c r="J281" s="6" t="s">
        <v>508</v>
      </c>
      <c r="K281" s="6" t="s">
        <v>509</v>
      </c>
      <c r="L281" s="6" t="s">
        <v>492</v>
      </c>
      <c r="M281" s="6" t="s">
        <v>493</v>
      </c>
      <c r="N281" s="6" t="s">
        <v>493</v>
      </c>
      <c r="O281" s="6" t="s">
        <v>510</v>
      </c>
      <c r="P281" s="6" t="s">
        <v>511</v>
      </c>
      <c r="Q281" s="6" t="str">
        <f t="shared" si="11"/>
        <v>Expert Cons.</v>
      </c>
      <c r="R281" s="21" t="s">
        <v>1667</v>
      </c>
    </row>
    <row r="282" spans="1:18" s="6" customFormat="1" x14ac:dyDescent="0.2">
      <c r="A282" s="3" t="str">
        <f t="shared" si="10"/>
        <v>WUON_SUBRB</v>
      </c>
      <c r="B282" s="6" t="s">
        <v>15</v>
      </c>
      <c r="C282" s="6" t="s">
        <v>1185</v>
      </c>
      <c r="D282" s="6" t="s">
        <v>1186</v>
      </c>
      <c r="E282" s="6" t="s">
        <v>1187</v>
      </c>
      <c r="F282" s="6" t="s">
        <v>1156</v>
      </c>
      <c r="G282" s="6" t="s">
        <v>1188</v>
      </c>
      <c r="H282" s="6" t="s">
        <v>1189</v>
      </c>
      <c r="I282" s="6" t="s">
        <v>1190</v>
      </c>
      <c r="J282" s="6" t="s">
        <v>1191</v>
      </c>
      <c r="K282" s="6" t="s">
        <v>1191</v>
      </c>
      <c r="L282" s="6" t="s">
        <v>1158</v>
      </c>
      <c r="M282" s="6" t="s">
        <v>1159</v>
      </c>
      <c r="N282" s="6" t="s">
        <v>1160</v>
      </c>
      <c r="O282" s="6" t="s">
        <v>1159</v>
      </c>
      <c r="P282" s="6" t="s">
        <v>1160</v>
      </c>
      <c r="Q282" s="6" t="str">
        <f t="shared" si="11"/>
        <v>Other New Services</v>
      </c>
      <c r="R282" s="21"/>
    </row>
    <row r="283" spans="1:18" s="6" customFormat="1" x14ac:dyDescent="0.2">
      <c r="A283" s="3" t="str">
        <f t="shared" si="10"/>
        <v>F2DA_SUBCK</v>
      </c>
      <c r="B283" s="6" t="s">
        <v>15</v>
      </c>
      <c r="C283" s="6" t="s">
        <v>498</v>
      </c>
      <c r="D283" s="6" t="s">
        <v>499</v>
      </c>
      <c r="E283" s="6" t="s">
        <v>488</v>
      </c>
      <c r="F283" s="6" t="s">
        <v>176</v>
      </c>
      <c r="G283" s="6" t="s">
        <v>500</v>
      </c>
      <c r="H283" s="6" t="s">
        <v>501</v>
      </c>
      <c r="I283" s="6" t="s">
        <v>490</v>
      </c>
      <c r="J283" s="6" t="s">
        <v>491</v>
      </c>
      <c r="K283" s="6" t="s">
        <v>491</v>
      </c>
      <c r="L283" s="6" t="s">
        <v>492</v>
      </c>
      <c r="M283" s="6" t="s">
        <v>493</v>
      </c>
      <c r="N283" s="6" t="s">
        <v>493</v>
      </c>
      <c r="O283" s="6" t="s">
        <v>183</v>
      </c>
      <c r="P283" s="6" t="s">
        <v>180</v>
      </c>
      <c r="Q283" s="6" t="str">
        <f t="shared" si="11"/>
        <v>Dedicated Affiliate</v>
      </c>
      <c r="R283" s="21"/>
    </row>
    <row r="284" spans="1:18" s="6" customFormat="1" x14ac:dyDescent="0.2">
      <c r="A284" s="3" t="str">
        <f t="shared" si="10"/>
        <v>F2EC_SUBM5</v>
      </c>
      <c r="B284" s="6" t="s">
        <v>15</v>
      </c>
      <c r="C284" s="6" t="s">
        <v>540</v>
      </c>
      <c r="D284" s="6" t="s">
        <v>541</v>
      </c>
      <c r="E284" s="6" t="s">
        <v>504</v>
      </c>
      <c r="F284" s="6" t="s">
        <v>505</v>
      </c>
      <c r="G284" s="6" t="s">
        <v>1392</v>
      </c>
      <c r="H284" s="6" t="s">
        <v>542</v>
      </c>
      <c r="I284" s="6" t="s">
        <v>507</v>
      </c>
      <c r="J284" s="6" t="s">
        <v>508</v>
      </c>
      <c r="K284" s="6" t="s">
        <v>509</v>
      </c>
      <c r="L284" s="6" t="s">
        <v>492</v>
      </c>
      <c r="M284" s="6" t="s">
        <v>493</v>
      </c>
      <c r="N284" s="6" t="s">
        <v>493</v>
      </c>
      <c r="O284" s="6" t="s">
        <v>510</v>
      </c>
      <c r="P284" s="6" t="s">
        <v>511</v>
      </c>
      <c r="Q284" s="6" t="str">
        <f t="shared" si="11"/>
        <v>Expert Cons.</v>
      </c>
      <c r="R284" s="21"/>
    </row>
    <row r="285" spans="1:18" s="6" customFormat="1" x14ac:dyDescent="0.2">
      <c r="A285" s="3" t="str">
        <f t="shared" si="10"/>
        <v>F15SP_SUBP2</v>
      </c>
      <c r="B285" s="6" t="s">
        <v>15</v>
      </c>
      <c r="C285" s="6" t="s">
        <v>397</v>
      </c>
      <c r="D285" s="6" t="s">
        <v>398</v>
      </c>
      <c r="E285" s="6" t="s">
        <v>337</v>
      </c>
      <c r="F285" s="6" t="s">
        <v>314</v>
      </c>
      <c r="G285" s="6" t="s">
        <v>399</v>
      </c>
      <c r="H285" s="6" t="s">
        <v>400</v>
      </c>
      <c r="I285" s="6" t="s">
        <v>338</v>
      </c>
      <c r="J285" s="6" t="s">
        <v>339</v>
      </c>
      <c r="K285" s="6" t="s">
        <v>339</v>
      </c>
      <c r="L285" s="6" t="s">
        <v>317</v>
      </c>
      <c r="M285" s="6" t="s">
        <v>318</v>
      </c>
      <c r="N285" s="6" t="s">
        <v>319</v>
      </c>
      <c r="O285" s="6" t="s">
        <v>318</v>
      </c>
      <c r="P285" s="6" t="s">
        <v>319</v>
      </c>
      <c r="Q285" s="6" t="str">
        <f t="shared" si="11"/>
        <v>Practice Teams</v>
      </c>
      <c r="R285" s="21"/>
    </row>
    <row r="286" spans="1:18" s="6" customFormat="1" x14ac:dyDescent="0.2">
      <c r="A286" s="3" t="str">
        <f t="shared" si="10"/>
        <v>F15XX_PPK2</v>
      </c>
      <c r="B286" s="6" t="s">
        <v>23</v>
      </c>
      <c r="C286" s="6" t="s">
        <v>320</v>
      </c>
      <c r="D286" s="6" t="s">
        <v>321</v>
      </c>
      <c r="F286" s="6" t="s">
        <v>314</v>
      </c>
      <c r="G286" s="6" t="s">
        <v>321</v>
      </c>
      <c r="H286" s="6" t="s">
        <v>321</v>
      </c>
      <c r="I286" s="6" t="s">
        <v>18</v>
      </c>
      <c r="J286" s="6" t="s">
        <v>18</v>
      </c>
      <c r="K286" s="6" t="s">
        <v>18</v>
      </c>
      <c r="L286" s="6" t="s">
        <v>317</v>
      </c>
      <c r="M286" s="6" t="s">
        <v>318</v>
      </c>
      <c r="N286" s="6" t="s">
        <v>319</v>
      </c>
      <c r="O286" s="6" t="s">
        <v>318</v>
      </c>
      <c r="P286" s="6" t="s">
        <v>319</v>
      </c>
      <c r="Q286" s="6" t="str">
        <f t="shared" si="11"/>
        <v>PPK Other</v>
      </c>
      <c r="R286" s="21"/>
    </row>
    <row r="287" spans="1:18" s="6" customFormat="1" x14ac:dyDescent="0.2">
      <c r="A287" s="3" t="str">
        <f t="shared" si="10"/>
        <v>F15SP_SUBXX_PPK</v>
      </c>
      <c r="B287" s="6" t="s">
        <v>23</v>
      </c>
      <c r="C287" s="6" t="s">
        <v>424</v>
      </c>
      <c r="D287" s="6" t="s">
        <v>425</v>
      </c>
      <c r="E287" s="6" t="s">
        <v>337</v>
      </c>
      <c r="F287" s="6" t="s">
        <v>314</v>
      </c>
      <c r="G287" s="6" t="s">
        <v>425</v>
      </c>
      <c r="H287" s="6" t="s">
        <v>425</v>
      </c>
      <c r="I287" s="6" t="s">
        <v>338</v>
      </c>
      <c r="J287" s="6" t="s">
        <v>339</v>
      </c>
      <c r="K287" s="6" t="s">
        <v>339</v>
      </c>
      <c r="L287" s="6" t="s">
        <v>317</v>
      </c>
      <c r="M287" s="6" t="s">
        <v>318</v>
      </c>
      <c r="N287" s="6" t="s">
        <v>319</v>
      </c>
      <c r="O287" s="6" t="s">
        <v>318</v>
      </c>
      <c r="P287" s="6" t="s">
        <v>319</v>
      </c>
      <c r="Q287" s="6" t="str">
        <f t="shared" si="11"/>
        <v>Practice Teams</v>
      </c>
      <c r="R287" s="21"/>
    </row>
    <row r="288" spans="1:18" s="6" customFormat="1" x14ac:dyDescent="0.2">
      <c r="A288" s="3" t="str">
        <f t="shared" si="10"/>
        <v>F15PP_SUBBS</v>
      </c>
      <c r="B288" s="6" t="s">
        <v>15</v>
      </c>
      <c r="C288" s="6" t="s">
        <v>322</v>
      </c>
      <c r="D288" s="32" t="s">
        <v>1771</v>
      </c>
      <c r="E288" s="6" t="s">
        <v>324</v>
      </c>
      <c r="F288" s="6" t="s">
        <v>314</v>
      </c>
      <c r="G288" s="6" t="s">
        <v>1772</v>
      </c>
      <c r="H288" s="6" t="s">
        <v>1773</v>
      </c>
      <c r="I288" s="6" t="s">
        <v>325</v>
      </c>
      <c r="J288" s="6" t="s">
        <v>326</v>
      </c>
      <c r="K288" s="6" t="s">
        <v>326</v>
      </c>
      <c r="L288" s="6" t="s">
        <v>317</v>
      </c>
      <c r="M288" s="6" t="s">
        <v>318</v>
      </c>
      <c r="N288" s="6" t="s">
        <v>319</v>
      </c>
      <c r="O288" s="6" t="s">
        <v>318</v>
      </c>
      <c r="P288" s="6" t="s">
        <v>319</v>
      </c>
      <c r="Q288" s="6" t="str">
        <f t="shared" si="11"/>
        <v>PPK Program Office</v>
      </c>
      <c r="R288" s="21"/>
    </row>
    <row r="289" spans="1:18" s="6" customFormat="1" x14ac:dyDescent="0.2">
      <c r="A289" s="3" t="str">
        <f t="shared" si="10"/>
        <v>F15PO</v>
      </c>
      <c r="B289" s="6" t="s">
        <v>23</v>
      </c>
      <c r="C289" s="6" t="s">
        <v>312</v>
      </c>
      <c r="D289" s="6" t="s">
        <v>313</v>
      </c>
      <c r="F289" s="6" t="s">
        <v>314</v>
      </c>
      <c r="G289" s="6" t="s">
        <v>315</v>
      </c>
      <c r="H289" s="6" t="s">
        <v>316</v>
      </c>
      <c r="I289" s="6" t="s">
        <v>18</v>
      </c>
      <c r="J289" s="6" t="s">
        <v>18</v>
      </c>
      <c r="K289" s="6" t="s">
        <v>18</v>
      </c>
      <c r="L289" s="6" t="s">
        <v>317</v>
      </c>
      <c r="M289" s="6" t="s">
        <v>318</v>
      </c>
      <c r="N289" s="6" t="s">
        <v>319</v>
      </c>
      <c r="O289" s="6" t="s">
        <v>318</v>
      </c>
      <c r="P289" s="6" t="s">
        <v>319</v>
      </c>
      <c r="Q289" s="6" t="str">
        <f t="shared" si="11"/>
        <v>PPK Other</v>
      </c>
      <c r="R289" s="25" t="s">
        <v>1496</v>
      </c>
    </row>
    <row r="290" spans="1:18" s="6" customFormat="1" x14ac:dyDescent="0.2">
      <c r="A290" s="3" t="str">
        <f t="shared" si="10"/>
        <v>F10ED_SUBWN</v>
      </c>
      <c r="B290" s="6" t="s">
        <v>15</v>
      </c>
      <c r="C290" s="6" t="s">
        <v>284</v>
      </c>
      <c r="D290" s="6" t="s">
        <v>285</v>
      </c>
      <c r="E290" s="6" t="s">
        <v>281</v>
      </c>
      <c r="F290" s="6" t="s">
        <v>189</v>
      </c>
      <c r="G290" s="6" t="s">
        <v>286</v>
      </c>
      <c r="H290" s="6" t="s">
        <v>286</v>
      </c>
      <c r="I290" s="6" t="s">
        <v>283</v>
      </c>
      <c r="J290" s="6" t="s">
        <v>282</v>
      </c>
      <c r="K290" s="6" t="s">
        <v>282</v>
      </c>
      <c r="L290" s="6" t="s">
        <v>191</v>
      </c>
      <c r="M290" s="6" t="s">
        <v>192</v>
      </c>
      <c r="N290" s="6" t="s">
        <v>192</v>
      </c>
      <c r="O290" s="6" t="s">
        <v>192</v>
      </c>
      <c r="P290" s="6" t="s">
        <v>192</v>
      </c>
      <c r="Q290" s="6" t="str">
        <f t="shared" si="11"/>
        <v>Editorial</v>
      </c>
      <c r="R290" s="25"/>
    </row>
    <row r="291" spans="1:18" s="6" customFormat="1" ht="25.5" x14ac:dyDescent="0.2">
      <c r="A291" s="3" t="str">
        <f t="shared" si="10"/>
        <v>F10AD_SUBTI</v>
      </c>
      <c r="B291" s="6" t="s">
        <v>15</v>
      </c>
      <c r="C291" s="20" t="s">
        <v>1597</v>
      </c>
      <c r="D291" s="20" t="s">
        <v>1598</v>
      </c>
      <c r="E291" s="20" t="s">
        <v>195</v>
      </c>
      <c r="F291" s="20" t="s">
        <v>189</v>
      </c>
      <c r="G291" s="20" t="s">
        <v>1599</v>
      </c>
      <c r="H291" s="20" t="s">
        <v>1599</v>
      </c>
      <c r="I291" s="20" t="s">
        <v>197</v>
      </c>
      <c r="J291" s="6" t="s">
        <v>198</v>
      </c>
      <c r="K291" s="6" t="s">
        <v>199</v>
      </c>
      <c r="L291" s="20" t="s">
        <v>191</v>
      </c>
      <c r="M291" s="6" t="s">
        <v>192</v>
      </c>
      <c r="N291" s="6" t="s">
        <v>192</v>
      </c>
      <c r="O291" s="6" t="s">
        <v>192</v>
      </c>
      <c r="P291" s="6" t="s">
        <v>192</v>
      </c>
      <c r="Q291" s="6" t="str">
        <f t="shared" si="11"/>
        <v>Practice &amp; Acct Marketing</v>
      </c>
      <c r="R291" s="24" t="s">
        <v>1634</v>
      </c>
    </row>
    <row r="292" spans="1:18" s="6" customFormat="1" ht="25.5" x14ac:dyDescent="0.2">
      <c r="A292" s="3" t="str">
        <f t="shared" si="10"/>
        <v>F10AD_SUBPM</v>
      </c>
      <c r="B292" s="6" t="s">
        <v>15</v>
      </c>
      <c r="C292" s="20" t="s">
        <v>1594</v>
      </c>
      <c r="D292" s="20" t="s">
        <v>1595</v>
      </c>
      <c r="E292" s="20" t="s">
        <v>195</v>
      </c>
      <c r="F292" s="20" t="s">
        <v>189</v>
      </c>
      <c r="G292" s="6" t="s">
        <v>1596</v>
      </c>
      <c r="H292" s="6" t="s">
        <v>1596</v>
      </c>
      <c r="I292" s="20" t="s">
        <v>197</v>
      </c>
      <c r="J292" s="6" t="s">
        <v>198</v>
      </c>
      <c r="K292" s="6" t="s">
        <v>199</v>
      </c>
      <c r="L292" s="20" t="s">
        <v>191</v>
      </c>
      <c r="M292" s="6" t="s">
        <v>192</v>
      </c>
      <c r="N292" s="6" t="s">
        <v>192</v>
      </c>
      <c r="O292" s="6" t="s">
        <v>192</v>
      </c>
      <c r="P292" s="6" t="s">
        <v>192</v>
      </c>
      <c r="Q292" s="6" t="str">
        <f t="shared" si="11"/>
        <v>Practice &amp; Acct Marketing</v>
      </c>
      <c r="R292" s="24" t="s">
        <v>1635</v>
      </c>
    </row>
    <row r="293" spans="1:18" s="9" customFormat="1" x14ac:dyDescent="0.2">
      <c r="A293" s="3" t="str">
        <f t="shared" si="10"/>
        <v>F10AD_SUBCC</v>
      </c>
      <c r="B293" s="6" t="s">
        <v>23</v>
      </c>
      <c r="C293" s="6" t="s">
        <v>193</v>
      </c>
      <c r="D293" s="6" t="s">
        <v>194</v>
      </c>
      <c r="E293" s="6" t="s">
        <v>195</v>
      </c>
      <c r="F293" s="6" t="s">
        <v>189</v>
      </c>
      <c r="G293" s="6" t="s">
        <v>196</v>
      </c>
      <c r="H293" s="6" t="s">
        <v>196</v>
      </c>
      <c r="I293" s="6" t="s">
        <v>197</v>
      </c>
      <c r="J293" s="6" t="s">
        <v>198</v>
      </c>
      <c r="K293" s="6" t="s">
        <v>199</v>
      </c>
      <c r="L293" s="6" t="s">
        <v>191</v>
      </c>
      <c r="M293" s="6" t="s">
        <v>192</v>
      </c>
      <c r="N293" s="6" t="s">
        <v>192</v>
      </c>
      <c r="O293" s="6" t="s">
        <v>192</v>
      </c>
      <c r="P293" s="6" t="s">
        <v>192</v>
      </c>
      <c r="Q293" s="6" t="str">
        <f t="shared" si="11"/>
        <v>Practice &amp; Acct Marketing</v>
      </c>
      <c r="R293" s="21" t="s">
        <v>1543</v>
      </c>
    </row>
    <row r="294" spans="1:18" s="6" customFormat="1" x14ac:dyDescent="0.2">
      <c r="A294" s="3" t="str">
        <f t="shared" si="10"/>
        <v>F10AD_SUBIM</v>
      </c>
      <c r="B294" s="6" t="s">
        <v>23</v>
      </c>
      <c r="C294" s="6" t="s">
        <v>203</v>
      </c>
      <c r="D294" s="6" t="s">
        <v>194</v>
      </c>
      <c r="E294" s="6" t="s">
        <v>195</v>
      </c>
      <c r="F294" s="6" t="s">
        <v>189</v>
      </c>
      <c r="G294" s="6" t="s">
        <v>196</v>
      </c>
      <c r="H294" s="6" t="s">
        <v>196</v>
      </c>
      <c r="I294" s="6" t="s">
        <v>197</v>
      </c>
      <c r="J294" s="6" t="s">
        <v>198</v>
      </c>
      <c r="K294" s="6" t="s">
        <v>199</v>
      </c>
      <c r="L294" s="6" t="s">
        <v>191</v>
      </c>
      <c r="M294" s="6" t="s">
        <v>192</v>
      </c>
      <c r="N294" s="6" t="s">
        <v>192</v>
      </c>
      <c r="O294" s="6" t="s">
        <v>192</v>
      </c>
      <c r="P294" s="6" t="s">
        <v>192</v>
      </c>
      <c r="Q294" s="6" t="str">
        <f t="shared" ref="Q294:Q325" si="12">IF(J294&lt;&gt;"",J294,_xlfn.CONCAT(O294," Other"))</f>
        <v>Practice &amp; Acct Marketing</v>
      </c>
      <c r="R294" s="21" t="s">
        <v>1543</v>
      </c>
    </row>
    <row r="295" spans="1:18" s="6" customFormat="1" ht="38.25" x14ac:dyDescent="0.2">
      <c r="A295" s="3" t="str">
        <f t="shared" si="10"/>
        <v>F10AD_SUBEP</v>
      </c>
      <c r="B295" s="6" t="s">
        <v>15</v>
      </c>
      <c r="C295" s="6" t="s">
        <v>1239</v>
      </c>
      <c r="D295" s="6" t="s">
        <v>194</v>
      </c>
      <c r="E295" s="6" t="s">
        <v>195</v>
      </c>
      <c r="F295" s="6" t="s">
        <v>189</v>
      </c>
      <c r="G295" s="6" t="s">
        <v>196</v>
      </c>
      <c r="H295" s="6" t="s">
        <v>196</v>
      </c>
      <c r="I295" s="6" t="s">
        <v>197</v>
      </c>
      <c r="J295" s="6" t="s">
        <v>198</v>
      </c>
      <c r="K295" s="6" t="s">
        <v>199</v>
      </c>
      <c r="L295" s="6" t="s">
        <v>191</v>
      </c>
      <c r="M295" s="6" t="s">
        <v>192</v>
      </c>
      <c r="N295" s="6" t="s">
        <v>192</v>
      </c>
      <c r="O295" s="6" t="s">
        <v>192</v>
      </c>
      <c r="P295" s="6" t="s">
        <v>192</v>
      </c>
      <c r="Q295" s="6" t="str">
        <f t="shared" si="12"/>
        <v>Practice &amp; Acct Marketing</v>
      </c>
      <c r="R295" s="21" t="s">
        <v>1633</v>
      </c>
    </row>
    <row r="296" spans="1:18" s="6" customFormat="1" x14ac:dyDescent="0.2">
      <c r="A296" s="3" t="str">
        <f t="shared" si="10"/>
        <v>F10DM_SUBBM</v>
      </c>
      <c r="B296" s="6" t="s">
        <v>23</v>
      </c>
      <c r="C296" s="6" t="s">
        <v>187</v>
      </c>
      <c r="D296" s="6" t="s">
        <v>188</v>
      </c>
      <c r="E296" s="6" t="s">
        <v>253</v>
      </c>
      <c r="F296" s="6" t="s">
        <v>189</v>
      </c>
      <c r="G296" s="6" t="s">
        <v>190</v>
      </c>
      <c r="H296" s="6" t="s">
        <v>190</v>
      </c>
      <c r="I296" s="6" t="s">
        <v>255</v>
      </c>
      <c r="J296" s="6" t="s">
        <v>256</v>
      </c>
      <c r="K296" s="6" t="s">
        <v>256</v>
      </c>
      <c r="L296" s="6" t="s">
        <v>191</v>
      </c>
      <c r="M296" s="6" t="s">
        <v>192</v>
      </c>
      <c r="N296" s="6" t="s">
        <v>192</v>
      </c>
      <c r="O296" s="6" t="s">
        <v>192</v>
      </c>
      <c r="P296" s="6" t="s">
        <v>192</v>
      </c>
      <c r="Q296" s="6" t="str">
        <f t="shared" si="12"/>
        <v>Digital Marketing</v>
      </c>
      <c r="R296" s="21" t="s">
        <v>1550</v>
      </c>
    </row>
    <row r="297" spans="1:18" s="6" customFormat="1" x14ac:dyDescent="0.2">
      <c r="A297" s="3" t="str">
        <f t="shared" si="10"/>
        <v>VFPD_SUBDH</v>
      </c>
      <c r="B297" s="6" t="s">
        <v>23</v>
      </c>
      <c r="C297" s="6" t="s">
        <v>1126</v>
      </c>
      <c r="D297" s="6" t="s">
        <v>1127</v>
      </c>
      <c r="E297" s="6" t="s">
        <v>1085</v>
      </c>
      <c r="F297" s="6" t="s">
        <v>1073</v>
      </c>
      <c r="G297" s="6" t="s">
        <v>1128</v>
      </c>
      <c r="H297" s="6" t="s">
        <v>1129</v>
      </c>
      <c r="I297" s="6" t="s">
        <v>1087</v>
      </c>
      <c r="J297" s="6" t="s">
        <v>1401</v>
      </c>
      <c r="K297" s="10" t="s">
        <v>1088</v>
      </c>
      <c r="L297" s="6" t="s">
        <v>1076</v>
      </c>
      <c r="M297" s="6" t="s">
        <v>1077</v>
      </c>
      <c r="N297" s="6" t="s">
        <v>1078</v>
      </c>
      <c r="O297" s="6" t="s">
        <v>1077</v>
      </c>
      <c r="P297" s="6" t="s">
        <v>1078</v>
      </c>
      <c r="Q297" s="6" t="str">
        <f t="shared" si="12"/>
        <v>PEDV</v>
      </c>
      <c r="R297" s="21" t="s">
        <v>1542</v>
      </c>
    </row>
    <row r="298" spans="1:18" s="6" customFormat="1" ht="25.5" x14ac:dyDescent="0.2">
      <c r="A298" s="3" t="str">
        <f t="shared" si="10"/>
        <v>VFPD_SUBPI</v>
      </c>
      <c r="B298" s="6" t="s">
        <v>23</v>
      </c>
      <c r="C298" s="6" t="s">
        <v>1079</v>
      </c>
      <c r="D298" s="6" t="s">
        <v>1080</v>
      </c>
      <c r="E298" s="10" t="s">
        <v>1085</v>
      </c>
      <c r="F298" s="6" t="s">
        <v>1073</v>
      </c>
      <c r="G298" s="6" t="s">
        <v>1081</v>
      </c>
      <c r="H298" s="6" t="s">
        <v>1082</v>
      </c>
      <c r="I298" s="6" t="s">
        <v>1087</v>
      </c>
      <c r="J298" s="6" t="s">
        <v>1401</v>
      </c>
      <c r="K298" s="10" t="s">
        <v>1088</v>
      </c>
      <c r="L298" s="6" t="s">
        <v>1076</v>
      </c>
      <c r="M298" s="6" t="s">
        <v>1077</v>
      </c>
      <c r="N298" s="6" t="s">
        <v>1078</v>
      </c>
      <c r="O298" s="6" t="s">
        <v>1077</v>
      </c>
      <c r="P298" s="6" t="s">
        <v>1078</v>
      </c>
      <c r="Q298" s="6" t="str">
        <f t="shared" si="12"/>
        <v>PEDV</v>
      </c>
      <c r="R298" s="25" t="s">
        <v>1521</v>
      </c>
    </row>
    <row r="299" spans="1:18" s="6" customFormat="1" x14ac:dyDescent="0.2">
      <c r="A299" s="3" t="str">
        <f t="shared" si="10"/>
        <v>F2EC_SUBM6</v>
      </c>
      <c r="B299" s="6" t="s">
        <v>15</v>
      </c>
      <c r="C299" s="6" t="s">
        <v>543</v>
      </c>
      <c r="D299" s="6" t="s">
        <v>544</v>
      </c>
      <c r="E299" s="6" t="s">
        <v>504</v>
      </c>
      <c r="F299" s="6" t="s">
        <v>505</v>
      </c>
      <c r="G299" s="6" t="s">
        <v>1393</v>
      </c>
      <c r="H299" s="6" t="s">
        <v>545</v>
      </c>
      <c r="I299" s="6" t="s">
        <v>507</v>
      </c>
      <c r="J299" s="6" t="s">
        <v>508</v>
      </c>
      <c r="K299" s="6" t="s">
        <v>509</v>
      </c>
      <c r="L299" s="6" t="s">
        <v>492</v>
      </c>
      <c r="M299" s="6" t="s">
        <v>493</v>
      </c>
      <c r="N299" s="6" t="s">
        <v>493</v>
      </c>
      <c r="O299" s="6" t="s">
        <v>510</v>
      </c>
      <c r="P299" s="6" t="s">
        <v>511</v>
      </c>
      <c r="Q299" s="6" t="str">
        <f t="shared" si="12"/>
        <v>Expert Cons.</v>
      </c>
      <c r="R299" s="25"/>
    </row>
    <row r="300" spans="1:18" s="6" customFormat="1" x14ac:dyDescent="0.2">
      <c r="A300" s="3" t="str">
        <f t="shared" si="10"/>
        <v>F15SP_SUBD2</v>
      </c>
      <c r="B300" s="6" t="s">
        <v>15</v>
      </c>
      <c r="C300" s="6" t="s">
        <v>344</v>
      </c>
      <c r="D300" s="6" t="s">
        <v>345</v>
      </c>
      <c r="E300" s="6" t="s">
        <v>337</v>
      </c>
      <c r="F300" s="6" t="s">
        <v>314</v>
      </c>
      <c r="G300" s="6" t="s">
        <v>346</v>
      </c>
      <c r="H300" s="6" t="s">
        <v>347</v>
      </c>
      <c r="I300" s="6" t="s">
        <v>338</v>
      </c>
      <c r="J300" s="6" t="s">
        <v>339</v>
      </c>
      <c r="K300" s="6" t="s">
        <v>339</v>
      </c>
      <c r="L300" s="6" t="s">
        <v>317</v>
      </c>
      <c r="M300" s="6" t="s">
        <v>318</v>
      </c>
      <c r="N300" s="6" t="s">
        <v>319</v>
      </c>
      <c r="O300" s="6" t="s">
        <v>318</v>
      </c>
      <c r="P300" s="6" t="s">
        <v>319</v>
      </c>
      <c r="Q300" s="6" t="str">
        <f t="shared" si="12"/>
        <v>Practice Teams</v>
      </c>
      <c r="R300" s="25"/>
    </row>
    <row r="301" spans="1:18" s="6" customFormat="1" x14ac:dyDescent="0.2">
      <c r="A301" s="3" t="str">
        <f t="shared" si="10"/>
        <v>VFSR_PEGPE</v>
      </c>
      <c r="B301" s="6" t="s">
        <v>23</v>
      </c>
      <c r="C301" s="6" t="s">
        <v>1113</v>
      </c>
      <c r="D301" s="6" t="s">
        <v>1114</v>
      </c>
      <c r="E301" s="6" t="s">
        <v>1110</v>
      </c>
      <c r="F301" s="6" t="s">
        <v>1073</v>
      </c>
      <c r="G301" s="6" t="s">
        <v>1115</v>
      </c>
      <c r="H301" s="6" t="s">
        <v>1116</v>
      </c>
      <c r="I301" s="6" t="s">
        <v>1112</v>
      </c>
      <c r="J301" s="6" t="s">
        <v>1078</v>
      </c>
      <c r="K301" s="6" t="s">
        <v>1078</v>
      </c>
      <c r="L301" s="6" t="s">
        <v>1076</v>
      </c>
      <c r="M301" s="6" t="s">
        <v>1077</v>
      </c>
      <c r="N301" s="6" t="s">
        <v>1078</v>
      </c>
      <c r="O301" s="6" t="s">
        <v>1077</v>
      </c>
      <c r="P301" s="6" t="s">
        <v>1078</v>
      </c>
      <c r="Q301" s="6" t="str">
        <f t="shared" si="12"/>
        <v>Private Equity Service Line</v>
      </c>
      <c r="R301" s="25"/>
    </row>
    <row r="302" spans="1:18" s="6" customFormat="1" x14ac:dyDescent="0.2">
      <c r="A302" s="3" t="str">
        <f t="shared" si="10"/>
        <v>VECET_SUBTZ</v>
      </c>
      <c r="B302" s="6" t="s">
        <v>15</v>
      </c>
      <c r="C302" s="6" t="s">
        <v>1042</v>
      </c>
      <c r="D302" s="6" t="s">
        <v>1043</v>
      </c>
      <c r="E302" s="6" t="s">
        <v>1044</v>
      </c>
      <c r="F302" s="6" t="s">
        <v>1028</v>
      </c>
      <c r="G302" s="6" t="s">
        <v>1045</v>
      </c>
      <c r="H302" s="6" t="s">
        <v>1045</v>
      </c>
      <c r="I302" s="6" t="s">
        <v>1046</v>
      </c>
      <c r="J302" s="6" t="s">
        <v>1047</v>
      </c>
      <c r="K302" s="6" t="s">
        <v>1047</v>
      </c>
      <c r="L302" s="6" t="s">
        <v>1029</v>
      </c>
      <c r="M302" s="6" t="s">
        <v>1030</v>
      </c>
      <c r="N302" s="6" t="s">
        <v>1030</v>
      </c>
      <c r="O302" s="6" t="s">
        <v>1030</v>
      </c>
      <c r="P302" s="6" t="s">
        <v>1030</v>
      </c>
      <c r="Q302" s="6" t="str">
        <f t="shared" si="12"/>
        <v>Enterprise Tech</v>
      </c>
      <c r="R302" s="25"/>
    </row>
    <row r="303" spans="1:18" s="6" customFormat="1" x14ac:dyDescent="0.2">
      <c r="A303" s="3" t="str">
        <f t="shared" si="10"/>
        <v>F15SP_SUBPK</v>
      </c>
      <c r="B303" s="6" t="s">
        <v>23</v>
      </c>
      <c r="C303" s="6" t="s">
        <v>420</v>
      </c>
      <c r="D303" s="6" t="s">
        <v>421</v>
      </c>
      <c r="E303" s="6" t="s">
        <v>337</v>
      </c>
      <c r="F303" s="6" t="s">
        <v>314</v>
      </c>
      <c r="G303" s="6" t="s">
        <v>318</v>
      </c>
      <c r="H303" s="6" t="s">
        <v>319</v>
      </c>
      <c r="I303" s="6" t="s">
        <v>338</v>
      </c>
      <c r="J303" s="6" t="s">
        <v>339</v>
      </c>
      <c r="K303" s="6" t="s">
        <v>339</v>
      </c>
      <c r="L303" s="6" t="s">
        <v>317</v>
      </c>
      <c r="M303" s="6" t="s">
        <v>318</v>
      </c>
      <c r="N303" s="6" t="s">
        <v>319</v>
      </c>
      <c r="O303" s="6" t="s">
        <v>318</v>
      </c>
      <c r="P303" s="6" t="s">
        <v>319</v>
      </c>
      <c r="Q303" s="6" t="str">
        <f t="shared" si="12"/>
        <v>Practice Teams</v>
      </c>
      <c r="R303" s="25" t="s">
        <v>1497</v>
      </c>
    </row>
    <row r="304" spans="1:18" s="6" customFormat="1" x14ac:dyDescent="0.2">
      <c r="A304" s="3" t="str">
        <f t="shared" si="10"/>
        <v>F10EA_SUBPB</v>
      </c>
      <c r="B304" s="6" t="s">
        <v>15</v>
      </c>
      <c r="C304" s="6" t="s">
        <v>276</v>
      </c>
      <c r="D304" s="6" t="s">
        <v>277</v>
      </c>
      <c r="E304" s="6" t="s">
        <v>270</v>
      </c>
      <c r="F304" s="6" t="s">
        <v>189</v>
      </c>
      <c r="G304" s="6" t="s">
        <v>278</v>
      </c>
      <c r="H304" s="6" t="s">
        <v>278</v>
      </c>
      <c r="I304" s="6" t="s">
        <v>271</v>
      </c>
      <c r="J304" s="6" t="s">
        <v>272</v>
      </c>
      <c r="K304" s="6" t="s">
        <v>272</v>
      </c>
      <c r="L304" s="6" t="s">
        <v>191</v>
      </c>
      <c r="M304" s="6" t="s">
        <v>192</v>
      </c>
      <c r="N304" s="6" t="s">
        <v>192</v>
      </c>
      <c r="O304" s="6" t="s">
        <v>192</v>
      </c>
      <c r="P304" s="6" t="s">
        <v>192</v>
      </c>
      <c r="Q304" s="6" t="str">
        <f t="shared" si="12"/>
        <v>External Affairs</v>
      </c>
      <c r="R304" s="21"/>
    </row>
    <row r="305" spans="1:18" s="6" customFormat="1" x14ac:dyDescent="0.2">
      <c r="A305" s="3" t="str">
        <f t="shared" si="10"/>
        <v>VFPD_SUBPX</v>
      </c>
      <c r="B305" s="6" t="s">
        <v>15</v>
      </c>
      <c r="C305" s="6" t="s">
        <v>1089</v>
      </c>
      <c r="D305" s="6" t="s">
        <v>1090</v>
      </c>
      <c r="E305" s="6" t="s">
        <v>1085</v>
      </c>
      <c r="F305" s="6" t="s">
        <v>1073</v>
      </c>
      <c r="G305" s="6" t="s">
        <v>1091</v>
      </c>
      <c r="H305" s="6" t="s">
        <v>1091</v>
      </c>
      <c r="I305" s="6" t="s">
        <v>1087</v>
      </c>
      <c r="J305" s="6" t="s">
        <v>1401</v>
      </c>
      <c r="K305" s="6" t="s">
        <v>1088</v>
      </c>
      <c r="L305" s="6" t="s">
        <v>1076</v>
      </c>
      <c r="M305" s="6" t="s">
        <v>1077</v>
      </c>
      <c r="N305" s="6" t="s">
        <v>1078</v>
      </c>
      <c r="O305" s="6" t="s">
        <v>1077</v>
      </c>
      <c r="P305" s="6" t="s">
        <v>1078</v>
      </c>
      <c r="Q305" s="6" t="str">
        <f t="shared" si="12"/>
        <v>PEDV</v>
      </c>
      <c r="R305" s="21"/>
    </row>
    <row r="306" spans="1:18" s="6" customFormat="1" x14ac:dyDescent="0.2">
      <c r="A306" s="3" t="str">
        <f t="shared" si="10"/>
        <v>F10ED_SUBWZ</v>
      </c>
      <c r="B306" s="6" t="s">
        <v>15</v>
      </c>
      <c r="C306" s="6" t="s">
        <v>287</v>
      </c>
      <c r="D306" s="6" t="s">
        <v>288</v>
      </c>
      <c r="E306" s="6" t="s">
        <v>281</v>
      </c>
      <c r="F306" s="6" t="s">
        <v>189</v>
      </c>
      <c r="G306" s="6" t="s">
        <v>289</v>
      </c>
      <c r="H306" s="6" t="s">
        <v>289</v>
      </c>
      <c r="I306" s="6" t="s">
        <v>283</v>
      </c>
      <c r="J306" s="6" t="s">
        <v>282</v>
      </c>
      <c r="K306" s="6" t="s">
        <v>282</v>
      </c>
      <c r="L306" s="6" t="s">
        <v>191</v>
      </c>
      <c r="M306" s="6" t="s">
        <v>192</v>
      </c>
      <c r="N306" s="6" t="s">
        <v>192</v>
      </c>
      <c r="O306" s="6" t="s">
        <v>192</v>
      </c>
      <c r="P306" s="6" t="s">
        <v>192</v>
      </c>
      <c r="Q306" s="6" t="str">
        <f t="shared" si="12"/>
        <v>Editorial</v>
      </c>
      <c r="R306" s="21"/>
    </row>
    <row r="307" spans="1:18" s="6" customFormat="1" x14ac:dyDescent="0.2">
      <c r="A307" s="3" t="str">
        <f t="shared" si="10"/>
        <v>SLXX_QVAQC</v>
      </c>
      <c r="B307" s="6" t="s">
        <v>23</v>
      </c>
      <c r="C307" s="6" t="s">
        <v>863</v>
      </c>
      <c r="D307" s="6" t="s">
        <v>864</v>
      </c>
      <c r="E307" s="6" t="s">
        <v>865</v>
      </c>
      <c r="F307" s="6" t="s">
        <v>866</v>
      </c>
      <c r="G307" s="6" t="s">
        <v>867</v>
      </c>
      <c r="H307" s="6" t="s">
        <v>868</v>
      </c>
      <c r="I307" s="6" t="s">
        <v>869</v>
      </c>
      <c r="J307" s="6" t="s">
        <v>870</v>
      </c>
      <c r="K307" s="6" t="s">
        <v>870</v>
      </c>
      <c r="L307" s="6" t="s">
        <v>871</v>
      </c>
      <c r="M307" s="6" t="s">
        <v>1484</v>
      </c>
      <c r="N307" s="6" t="s">
        <v>1485</v>
      </c>
      <c r="O307" s="6" t="s">
        <v>1484</v>
      </c>
      <c r="P307" s="6" t="s">
        <v>1485</v>
      </c>
      <c r="Q307" s="6" t="str">
        <f t="shared" si="12"/>
        <v>Qvartz</v>
      </c>
      <c r="R307" s="21" t="s">
        <v>1487</v>
      </c>
    </row>
    <row r="308" spans="1:18" s="6" customFormat="1" x14ac:dyDescent="0.2">
      <c r="A308" s="3" t="str">
        <f t="shared" si="10"/>
        <v>F4LO_SUBMC</v>
      </c>
      <c r="B308" s="6" t="s">
        <v>15</v>
      </c>
      <c r="C308" s="6" t="s">
        <v>715</v>
      </c>
      <c r="D308" s="6" t="s">
        <v>716</v>
      </c>
      <c r="E308" s="6" t="s">
        <v>706</v>
      </c>
      <c r="F308" s="6" t="s">
        <v>680</v>
      </c>
      <c r="G308" s="6" t="s">
        <v>717</v>
      </c>
      <c r="H308" s="6" t="s">
        <v>717</v>
      </c>
      <c r="I308" s="6" t="s">
        <v>709</v>
      </c>
      <c r="J308" s="6" t="s">
        <v>710</v>
      </c>
      <c r="K308" s="6" t="s">
        <v>711</v>
      </c>
      <c r="L308" s="6" t="s">
        <v>686</v>
      </c>
      <c r="M308" s="6" t="s">
        <v>687</v>
      </c>
      <c r="N308" s="6" t="s">
        <v>688</v>
      </c>
      <c r="O308" s="6" t="s">
        <v>687</v>
      </c>
      <c r="P308" s="6" t="s">
        <v>688</v>
      </c>
      <c r="Q308" s="6" t="str">
        <f t="shared" si="12"/>
        <v>Local Ops</v>
      </c>
      <c r="R308" s="21"/>
    </row>
    <row r="309" spans="1:18" s="6" customFormat="1" x14ac:dyDescent="0.2">
      <c r="A309" s="3" t="str">
        <f t="shared" si="10"/>
        <v>RERC_SUBWR</v>
      </c>
      <c r="B309" s="6" t="s">
        <v>23</v>
      </c>
      <c r="C309" s="6" t="s">
        <v>830</v>
      </c>
      <c r="D309" s="6" t="s">
        <v>831</v>
      </c>
      <c r="E309" s="6" t="s">
        <v>820</v>
      </c>
      <c r="F309" s="6" t="s">
        <v>813</v>
      </c>
      <c r="G309" s="6" t="s">
        <v>832</v>
      </c>
      <c r="H309" s="6" t="s">
        <v>832</v>
      </c>
      <c r="I309" s="6" t="s">
        <v>823</v>
      </c>
      <c r="J309" s="6" t="s">
        <v>824</v>
      </c>
      <c r="K309" s="6" t="s">
        <v>825</v>
      </c>
      <c r="L309" s="6" t="s">
        <v>816</v>
      </c>
      <c r="M309" s="6" t="s">
        <v>817</v>
      </c>
      <c r="N309" s="6" t="s">
        <v>817</v>
      </c>
      <c r="O309" s="6" t="s">
        <v>817</v>
      </c>
      <c r="P309" s="6" t="s">
        <v>817</v>
      </c>
      <c r="Q309" s="6" t="str">
        <f t="shared" si="12"/>
        <v>TA CoE</v>
      </c>
      <c r="R309" s="21"/>
    </row>
    <row r="310" spans="1:18" s="6" customFormat="1" x14ac:dyDescent="0.2">
      <c r="A310" s="3" t="str">
        <f t="shared" si="10"/>
        <v>EMRA</v>
      </c>
      <c r="B310" s="6" t="s">
        <v>15</v>
      </c>
      <c r="C310" s="6" t="s">
        <v>169</v>
      </c>
      <c r="D310" s="6" t="s">
        <v>170</v>
      </c>
      <c r="F310" s="6" t="s">
        <v>164</v>
      </c>
      <c r="G310" s="6" t="s">
        <v>171</v>
      </c>
      <c r="H310" s="6" t="s">
        <v>172</v>
      </c>
      <c r="I310" s="6" t="s">
        <v>18</v>
      </c>
      <c r="J310" s="6" t="s">
        <v>18</v>
      </c>
      <c r="K310" s="6" t="s">
        <v>18</v>
      </c>
      <c r="L310" s="6" t="s">
        <v>167</v>
      </c>
      <c r="M310" s="6" t="s">
        <v>165</v>
      </c>
      <c r="N310" s="6" t="s">
        <v>168</v>
      </c>
      <c r="O310" s="6" t="s">
        <v>165</v>
      </c>
      <c r="P310" s="6" t="s">
        <v>168</v>
      </c>
      <c r="Q310" s="6" t="str">
        <f t="shared" si="12"/>
        <v>EA/MA Other</v>
      </c>
      <c r="R310" s="21"/>
    </row>
    <row r="311" spans="1:18" s="6" customFormat="1" x14ac:dyDescent="0.2">
      <c r="A311" s="3" t="str">
        <f t="shared" si="10"/>
        <v>F10RM_SUBRK</v>
      </c>
      <c r="B311" s="6" t="s">
        <v>23</v>
      </c>
      <c r="C311" s="6" t="s">
        <v>302</v>
      </c>
      <c r="D311" s="6" t="s">
        <v>303</v>
      </c>
      <c r="E311" s="6" t="s">
        <v>304</v>
      </c>
      <c r="F311" s="6" t="s">
        <v>189</v>
      </c>
      <c r="G311" s="6" t="s">
        <v>305</v>
      </c>
      <c r="H311" s="6" t="s">
        <v>305</v>
      </c>
      <c r="I311" s="6" t="s">
        <v>306</v>
      </c>
      <c r="J311" s="6" t="s">
        <v>305</v>
      </c>
      <c r="K311" s="6" t="s">
        <v>305</v>
      </c>
      <c r="L311" s="6" t="s">
        <v>191</v>
      </c>
      <c r="M311" s="6" t="s">
        <v>192</v>
      </c>
      <c r="N311" s="6" t="s">
        <v>192</v>
      </c>
      <c r="O311" s="6" t="s">
        <v>192</v>
      </c>
      <c r="P311" s="6" t="s">
        <v>192</v>
      </c>
      <c r="Q311" s="6" t="str">
        <f t="shared" si="12"/>
        <v>Relationship Marketing</v>
      </c>
      <c r="R311" s="21"/>
    </row>
    <row r="312" spans="1:18" s="6" customFormat="1" x14ac:dyDescent="0.2">
      <c r="A312" s="3" t="str">
        <f t="shared" si="10"/>
        <v>F15GC_SUBK1</v>
      </c>
      <c r="B312" s="6" t="s">
        <v>15</v>
      </c>
      <c r="C312" s="6" t="s">
        <v>327</v>
      </c>
      <c r="D312" s="6" t="s">
        <v>1371</v>
      </c>
      <c r="E312" s="6" t="s">
        <v>773</v>
      </c>
      <c r="F312" s="6" t="s">
        <v>314</v>
      </c>
      <c r="G312" s="6" t="s">
        <v>1372</v>
      </c>
      <c r="H312" s="6" t="s">
        <v>1373</v>
      </c>
      <c r="I312" s="6" t="s">
        <v>775</v>
      </c>
      <c r="J312" s="6" t="s">
        <v>776</v>
      </c>
      <c r="K312" s="6" t="s">
        <v>777</v>
      </c>
      <c r="L312" s="6" t="s">
        <v>317</v>
      </c>
      <c r="M312" s="6" t="s">
        <v>318</v>
      </c>
      <c r="N312" s="6" t="s">
        <v>319</v>
      </c>
      <c r="O312" s="6" t="s">
        <v>318</v>
      </c>
      <c r="P312" s="6" t="s">
        <v>319</v>
      </c>
      <c r="Q312" s="6" t="str">
        <f t="shared" si="12"/>
        <v>Commercial Ops</v>
      </c>
      <c r="R312" s="21"/>
    </row>
    <row r="313" spans="1:18" s="6" customFormat="1" x14ac:dyDescent="0.2">
      <c r="A313" s="3" t="str">
        <f t="shared" si="10"/>
        <v>WXLI</v>
      </c>
      <c r="B313" s="6" t="s">
        <v>23</v>
      </c>
      <c r="C313" s="6" t="s">
        <v>1196</v>
      </c>
      <c r="D313" s="6" t="s">
        <v>1197</v>
      </c>
      <c r="F313" s="6" t="s">
        <v>1198</v>
      </c>
      <c r="G313" s="6" t="s">
        <v>1199</v>
      </c>
      <c r="H313" s="6" t="s">
        <v>1200</v>
      </c>
      <c r="I313" s="6" t="s">
        <v>18</v>
      </c>
      <c r="J313" s="6" t="s">
        <v>18</v>
      </c>
      <c r="K313" s="6" t="s">
        <v>18</v>
      </c>
      <c r="L313" s="6" t="s">
        <v>1201</v>
      </c>
      <c r="M313" s="6" t="s">
        <v>1199</v>
      </c>
      <c r="N313" s="6" t="s">
        <v>1200</v>
      </c>
      <c r="O313" s="6" t="s">
        <v>1199</v>
      </c>
      <c r="P313" s="6" t="s">
        <v>1200</v>
      </c>
      <c r="Q313" s="6" t="str">
        <f t="shared" si="12"/>
        <v>RDS Other</v>
      </c>
      <c r="R313" s="21"/>
    </row>
    <row r="314" spans="1:18" s="6" customFormat="1" ht="38.25" x14ac:dyDescent="0.2">
      <c r="A314" s="3" t="str">
        <f t="shared" si="10"/>
        <v>WUCD_SUBRN</v>
      </c>
      <c r="B314" s="6" t="s">
        <v>15</v>
      </c>
      <c r="C314" s="7" t="s">
        <v>1184</v>
      </c>
      <c r="D314" s="7" t="s">
        <v>1490</v>
      </c>
      <c r="E314" s="7" t="s">
        <v>1181</v>
      </c>
      <c r="F314" s="7" t="s">
        <v>1156</v>
      </c>
      <c r="G314" s="6" t="s">
        <v>1491</v>
      </c>
      <c r="H314" s="7" t="s">
        <v>1490</v>
      </c>
      <c r="I314" s="7" t="s">
        <v>1182</v>
      </c>
      <c r="J314" s="7" t="s">
        <v>1183</v>
      </c>
      <c r="K314" s="7" t="s">
        <v>1183</v>
      </c>
      <c r="L314" s="6" t="s">
        <v>1158</v>
      </c>
      <c r="M314" s="6" t="s">
        <v>1159</v>
      </c>
      <c r="N314" s="6" t="s">
        <v>1160</v>
      </c>
      <c r="O314" s="6" t="s">
        <v>1159</v>
      </c>
      <c r="P314" s="6" t="s">
        <v>1160</v>
      </c>
      <c r="Q314" s="6" t="str">
        <f t="shared" si="12"/>
        <v>Expertise Delivery</v>
      </c>
      <c r="R314" s="27" t="s">
        <v>1567</v>
      </c>
    </row>
    <row r="315" spans="1:18" s="6" customFormat="1" x14ac:dyDescent="0.2">
      <c r="A315" s="3" t="str">
        <f t="shared" si="10"/>
        <v>F2EC_SUBM7</v>
      </c>
      <c r="B315" s="6" t="s">
        <v>15</v>
      </c>
      <c r="C315" s="6" t="s">
        <v>546</v>
      </c>
      <c r="D315" s="6" t="s">
        <v>547</v>
      </c>
      <c r="E315" s="6" t="s">
        <v>504</v>
      </c>
      <c r="F315" s="6" t="s">
        <v>505</v>
      </c>
      <c r="G315" s="6" t="s">
        <v>1394</v>
      </c>
      <c r="H315" s="6" t="s">
        <v>548</v>
      </c>
      <c r="I315" s="6" t="s">
        <v>507</v>
      </c>
      <c r="J315" s="6" t="s">
        <v>508</v>
      </c>
      <c r="K315" s="6" t="s">
        <v>509</v>
      </c>
      <c r="L315" s="6" t="s">
        <v>492</v>
      </c>
      <c r="M315" s="6" t="s">
        <v>493</v>
      </c>
      <c r="N315" s="6" t="s">
        <v>493</v>
      </c>
      <c r="O315" s="6" t="s">
        <v>510</v>
      </c>
      <c r="P315" s="6" t="s">
        <v>511</v>
      </c>
      <c r="Q315" s="6" t="str">
        <f t="shared" si="12"/>
        <v>Expert Cons.</v>
      </c>
      <c r="R315" s="21"/>
    </row>
    <row r="316" spans="1:18" s="6" customFormat="1" x14ac:dyDescent="0.2">
      <c r="A316" s="3" t="str">
        <f t="shared" si="10"/>
        <v>F15SP_SUBE3</v>
      </c>
      <c r="B316" s="6" t="s">
        <v>15</v>
      </c>
      <c r="C316" s="6" t="s">
        <v>376</v>
      </c>
      <c r="D316" s="6" t="s">
        <v>377</v>
      </c>
      <c r="E316" s="6" t="s">
        <v>337</v>
      </c>
      <c r="F316" s="6" t="s">
        <v>314</v>
      </c>
      <c r="G316" s="6" t="s">
        <v>378</v>
      </c>
      <c r="H316" s="6" t="s">
        <v>378</v>
      </c>
      <c r="I316" s="6" t="s">
        <v>338</v>
      </c>
      <c r="J316" s="6" t="s">
        <v>339</v>
      </c>
      <c r="K316" s="6" t="s">
        <v>339</v>
      </c>
      <c r="L316" s="6" t="s">
        <v>317</v>
      </c>
      <c r="M316" s="6" t="s">
        <v>318</v>
      </c>
      <c r="N316" s="6" t="s">
        <v>319</v>
      </c>
      <c r="O316" s="6" t="s">
        <v>318</v>
      </c>
      <c r="P316" s="6" t="s">
        <v>319</v>
      </c>
      <c r="Q316" s="6" t="str">
        <f t="shared" si="12"/>
        <v>Practice Teams</v>
      </c>
      <c r="R316" s="21"/>
    </row>
    <row r="317" spans="1:18" s="6" customFormat="1" x14ac:dyDescent="0.2">
      <c r="A317" s="3" t="str">
        <f t="shared" si="10"/>
        <v>F2EC_SUBM8</v>
      </c>
      <c r="B317" s="6" t="s">
        <v>15</v>
      </c>
      <c r="C317" s="6" t="s">
        <v>549</v>
      </c>
      <c r="D317" s="6" t="s">
        <v>550</v>
      </c>
      <c r="E317" s="6" t="s">
        <v>504</v>
      </c>
      <c r="F317" s="6" t="s">
        <v>505</v>
      </c>
      <c r="G317" s="6" t="s">
        <v>1395</v>
      </c>
      <c r="H317" s="6" t="s">
        <v>551</v>
      </c>
      <c r="I317" s="6" t="s">
        <v>507</v>
      </c>
      <c r="J317" s="6" t="s">
        <v>508</v>
      </c>
      <c r="K317" s="6" t="s">
        <v>509</v>
      </c>
      <c r="L317" s="6" t="s">
        <v>492</v>
      </c>
      <c r="M317" s="6" t="s">
        <v>493</v>
      </c>
      <c r="N317" s="6" t="s">
        <v>493</v>
      </c>
      <c r="O317" s="6" t="s">
        <v>510</v>
      </c>
      <c r="P317" s="6" t="s">
        <v>511</v>
      </c>
      <c r="Q317" s="6" t="str">
        <f t="shared" si="12"/>
        <v>Expert Cons.</v>
      </c>
      <c r="R317" s="21"/>
    </row>
    <row r="318" spans="1:18" s="6" customFormat="1" x14ac:dyDescent="0.2">
      <c r="A318" s="3" t="str">
        <f t="shared" si="10"/>
        <v>F15SP_SUBD8</v>
      </c>
      <c r="B318" s="6" t="s">
        <v>15</v>
      </c>
      <c r="C318" s="6" t="s">
        <v>362</v>
      </c>
      <c r="D318" s="6" t="s">
        <v>363</v>
      </c>
      <c r="E318" s="6" t="s">
        <v>337</v>
      </c>
      <c r="F318" s="6" t="s">
        <v>314</v>
      </c>
      <c r="G318" s="6" t="s">
        <v>364</v>
      </c>
      <c r="H318" s="6" t="s">
        <v>364</v>
      </c>
      <c r="I318" s="6" t="s">
        <v>338</v>
      </c>
      <c r="J318" s="6" t="s">
        <v>339</v>
      </c>
      <c r="K318" s="6" t="s">
        <v>339</v>
      </c>
      <c r="L318" s="6" t="s">
        <v>317</v>
      </c>
      <c r="M318" s="6" t="s">
        <v>318</v>
      </c>
      <c r="N318" s="6" t="s">
        <v>319</v>
      </c>
      <c r="O318" s="6" t="s">
        <v>318</v>
      </c>
      <c r="P318" s="6" t="s">
        <v>319</v>
      </c>
      <c r="Q318" s="6" t="str">
        <f t="shared" si="12"/>
        <v>Practice Teams</v>
      </c>
      <c r="R318" s="21"/>
    </row>
    <row r="319" spans="1:18" s="6" customFormat="1" ht="13.5" customHeight="1" x14ac:dyDescent="0.2">
      <c r="A319" s="3" t="str">
        <f t="shared" si="10"/>
        <v>F16A8</v>
      </c>
      <c r="B319" s="6" t="s">
        <v>23</v>
      </c>
      <c r="C319" s="6" t="s">
        <v>426</v>
      </c>
      <c r="D319" s="6" t="s">
        <v>427</v>
      </c>
      <c r="F319" s="6" t="s">
        <v>428</v>
      </c>
      <c r="G319" s="6" t="s">
        <v>429</v>
      </c>
      <c r="H319" s="6" t="s">
        <v>430</v>
      </c>
      <c r="I319" s="6" t="s">
        <v>18</v>
      </c>
      <c r="J319" s="6" t="s">
        <v>18</v>
      </c>
      <c r="K319" s="6" t="s">
        <v>18</v>
      </c>
      <c r="L319" s="6" t="s">
        <v>431</v>
      </c>
      <c r="M319" s="6" t="s">
        <v>372</v>
      </c>
      <c r="N319" s="6" t="s">
        <v>432</v>
      </c>
      <c r="O319" s="6" t="s">
        <v>372</v>
      </c>
      <c r="P319" s="6" t="s">
        <v>432</v>
      </c>
      <c r="Q319" s="6" t="str">
        <f t="shared" si="12"/>
        <v>E2 Other</v>
      </c>
      <c r="R319" s="21"/>
    </row>
    <row r="320" spans="1:18" s="6" customFormat="1" x14ac:dyDescent="0.2">
      <c r="A320" s="3" t="str">
        <f t="shared" si="10"/>
        <v>F2SC_SUBPL</v>
      </c>
      <c r="B320" s="6" t="s">
        <v>15</v>
      </c>
      <c r="C320" s="6" t="s">
        <v>565</v>
      </c>
      <c r="D320" s="6" t="s">
        <v>566</v>
      </c>
      <c r="E320" s="6" t="s">
        <v>567</v>
      </c>
      <c r="F320" s="6" t="s">
        <v>505</v>
      </c>
      <c r="G320" s="6" t="s">
        <v>568</v>
      </c>
      <c r="H320" s="6" t="s">
        <v>569</v>
      </c>
      <c r="I320" s="6" t="s">
        <v>570</v>
      </c>
      <c r="J320" s="6" t="s">
        <v>568</v>
      </c>
      <c r="K320" s="6" t="s">
        <v>569</v>
      </c>
      <c r="L320" s="6" t="s">
        <v>492</v>
      </c>
      <c r="M320" s="6" t="s">
        <v>493</v>
      </c>
      <c r="N320" s="6" t="s">
        <v>493</v>
      </c>
      <c r="O320" s="6" t="s">
        <v>510</v>
      </c>
      <c r="P320" s="6" t="s">
        <v>511</v>
      </c>
      <c r="Q320" s="6" t="str">
        <f t="shared" si="12"/>
        <v>Specialist Cons.</v>
      </c>
      <c r="R320" s="21"/>
    </row>
    <row r="321" spans="1:18" s="6" customFormat="1" x14ac:dyDescent="0.2">
      <c r="A321" s="3" t="str">
        <f t="shared" si="10"/>
        <v>VFSR_PEGDK</v>
      </c>
      <c r="B321" s="6" t="s">
        <v>23</v>
      </c>
      <c r="C321" s="6" t="s">
        <v>1108</v>
      </c>
      <c r="D321" s="6" t="s">
        <v>1109</v>
      </c>
      <c r="E321" s="6" t="s">
        <v>1110</v>
      </c>
      <c r="F321" s="6" t="s">
        <v>1073</v>
      </c>
      <c r="G321" s="6" t="s">
        <v>1111</v>
      </c>
      <c r="H321" s="6" t="s">
        <v>1111</v>
      </c>
      <c r="I321" s="6" t="s">
        <v>1112</v>
      </c>
      <c r="J321" s="6" t="s">
        <v>1078</v>
      </c>
      <c r="K321" s="6" t="s">
        <v>1078</v>
      </c>
      <c r="L321" s="6" t="s">
        <v>1076</v>
      </c>
      <c r="M321" s="6" t="s">
        <v>1077</v>
      </c>
      <c r="N321" s="6" t="s">
        <v>1078</v>
      </c>
      <c r="O321" s="6" t="s">
        <v>1077</v>
      </c>
      <c r="P321" s="6" t="s">
        <v>1078</v>
      </c>
      <c r="Q321" s="6" t="str">
        <f t="shared" si="12"/>
        <v>Private Equity Service Line</v>
      </c>
      <c r="R321" s="21"/>
    </row>
    <row r="322" spans="1:18" s="6" customFormat="1" x14ac:dyDescent="0.2">
      <c r="A322" s="3" t="str">
        <f t="shared" ref="A322:A385" si="13">_xlfn.CONCAT(L322,I322,C322)</f>
        <v>F2EC_SUBN1</v>
      </c>
      <c r="B322" s="6" t="s">
        <v>23</v>
      </c>
      <c r="C322" s="6" t="s">
        <v>552</v>
      </c>
      <c r="D322" s="6" t="s">
        <v>1456</v>
      </c>
      <c r="E322" s="6" t="s">
        <v>504</v>
      </c>
      <c r="F322" s="6" t="s">
        <v>505</v>
      </c>
      <c r="G322" s="10" t="s">
        <v>1457</v>
      </c>
      <c r="H322" s="10" t="s">
        <v>1456</v>
      </c>
      <c r="I322" s="6" t="s">
        <v>507</v>
      </c>
      <c r="J322" s="6" t="s">
        <v>508</v>
      </c>
      <c r="K322" s="6" t="s">
        <v>509</v>
      </c>
      <c r="L322" s="6" t="s">
        <v>492</v>
      </c>
      <c r="M322" s="6" t="s">
        <v>493</v>
      </c>
      <c r="N322" s="6" t="s">
        <v>493</v>
      </c>
      <c r="O322" s="6" t="s">
        <v>510</v>
      </c>
      <c r="P322" s="6" t="s">
        <v>511</v>
      </c>
      <c r="Q322" s="6" t="str">
        <f t="shared" si="12"/>
        <v>Expert Cons.</v>
      </c>
      <c r="R322" s="21" t="s">
        <v>1569</v>
      </c>
    </row>
    <row r="323" spans="1:18" s="6" customFormat="1" x14ac:dyDescent="0.2">
      <c r="A323" s="3" t="str">
        <f t="shared" si="13"/>
        <v>F2EC_SUBN4</v>
      </c>
      <c r="B323" s="6" t="s">
        <v>23</v>
      </c>
      <c r="C323" s="6" t="s">
        <v>559</v>
      </c>
      <c r="D323" s="6" t="s">
        <v>1456</v>
      </c>
      <c r="E323" s="6" t="s">
        <v>504</v>
      </c>
      <c r="F323" s="6" t="s">
        <v>505</v>
      </c>
      <c r="G323" s="10" t="s">
        <v>1457</v>
      </c>
      <c r="H323" s="10" t="s">
        <v>1456</v>
      </c>
      <c r="I323" s="6" t="s">
        <v>507</v>
      </c>
      <c r="J323" s="6" t="s">
        <v>508</v>
      </c>
      <c r="K323" s="6" t="s">
        <v>509</v>
      </c>
      <c r="L323" s="6" t="s">
        <v>492</v>
      </c>
      <c r="M323" s="6" t="s">
        <v>493</v>
      </c>
      <c r="N323" s="6" t="s">
        <v>493</v>
      </c>
      <c r="O323" s="6" t="s">
        <v>510</v>
      </c>
      <c r="P323" s="6" t="s">
        <v>511</v>
      </c>
      <c r="Q323" s="6" t="str">
        <f t="shared" si="12"/>
        <v>Expert Cons.</v>
      </c>
      <c r="R323" s="21" t="s">
        <v>1569</v>
      </c>
    </row>
    <row r="324" spans="1:18" s="6" customFormat="1" x14ac:dyDescent="0.2">
      <c r="A324" s="3" t="str">
        <f t="shared" si="13"/>
        <v>F2EC_SUBHY</v>
      </c>
      <c r="B324" s="6" t="s">
        <v>15</v>
      </c>
      <c r="C324" s="10" t="s">
        <v>1455</v>
      </c>
      <c r="D324" s="10" t="s">
        <v>1456</v>
      </c>
      <c r="E324" s="6" t="s">
        <v>504</v>
      </c>
      <c r="F324" s="6" t="s">
        <v>505</v>
      </c>
      <c r="G324" s="10" t="s">
        <v>1457</v>
      </c>
      <c r="H324" s="10" t="s">
        <v>1456</v>
      </c>
      <c r="I324" s="6" t="s">
        <v>507</v>
      </c>
      <c r="J324" s="6" t="s">
        <v>508</v>
      </c>
      <c r="K324" s="6" t="s">
        <v>509</v>
      </c>
      <c r="L324" s="6" t="s">
        <v>492</v>
      </c>
      <c r="M324" s="6" t="s">
        <v>493</v>
      </c>
      <c r="N324" s="6" t="s">
        <v>493</v>
      </c>
      <c r="O324" s="6" t="s">
        <v>510</v>
      </c>
      <c r="P324" s="6" t="s">
        <v>511</v>
      </c>
      <c r="Q324" s="6" t="str">
        <f t="shared" si="12"/>
        <v>Expert Cons.</v>
      </c>
      <c r="R324" s="21" t="s">
        <v>1570</v>
      </c>
    </row>
    <row r="325" spans="1:18" s="6" customFormat="1" x14ac:dyDescent="0.2">
      <c r="A325" s="3" t="str">
        <f t="shared" si="13"/>
        <v>F18MO_SUBFJ</v>
      </c>
      <c r="B325" s="6" t="s">
        <v>15</v>
      </c>
      <c r="C325" s="6" t="s">
        <v>1275</v>
      </c>
      <c r="D325" s="30" t="s">
        <v>1748</v>
      </c>
      <c r="E325" s="6" t="s">
        <v>1310</v>
      </c>
      <c r="F325" s="6" t="s">
        <v>1304</v>
      </c>
      <c r="G325" s="6" t="s">
        <v>1758</v>
      </c>
      <c r="H325" s="30" t="s">
        <v>1759</v>
      </c>
      <c r="I325" s="6" t="s">
        <v>1301</v>
      </c>
      <c r="J325" s="6" t="s">
        <v>642</v>
      </c>
      <c r="K325" s="6" t="s">
        <v>1316</v>
      </c>
      <c r="L325" s="6" t="s">
        <v>447</v>
      </c>
      <c r="M325" s="6" t="s">
        <v>1420</v>
      </c>
      <c r="N325" s="6" t="s">
        <v>1305</v>
      </c>
      <c r="O325" s="6" t="s">
        <v>1420</v>
      </c>
      <c r="P325" s="6" t="s">
        <v>1305</v>
      </c>
      <c r="Q325" s="6" t="str">
        <f t="shared" si="12"/>
        <v>IS</v>
      </c>
      <c r="R325" s="21" t="s">
        <v>1609</v>
      </c>
    </row>
    <row r="326" spans="1:18" s="6" customFormat="1" x14ac:dyDescent="0.2">
      <c r="A326" s="3" t="str">
        <f t="shared" si="13"/>
        <v>F18MO_SUBFK</v>
      </c>
      <c r="B326" s="6" t="s">
        <v>23</v>
      </c>
      <c r="C326" s="6" t="s">
        <v>1287</v>
      </c>
      <c r="D326" s="30" t="s">
        <v>1748</v>
      </c>
      <c r="E326" s="6" t="s">
        <v>1310</v>
      </c>
      <c r="F326" s="6" t="s">
        <v>1304</v>
      </c>
      <c r="G326" s="6" t="s">
        <v>1758</v>
      </c>
      <c r="H326" s="30" t="s">
        <v>1759</v>
      </c>
      <c r="I326" s="6" t="s">
        <v>1301</v>
      </c>
      <c r="J326" s="6" t="s">
        <v>642</v>
      </c>
      <c r="K326" s="6" t="s">
        <v>1316</v>
      </c>
      <c r="L326" s="6" t="s">
        <v>447</v>
      </c>
      <c r="M326" s="6" t="s">
        <v>1420</v>
      </c>
      <c r="N326" s="6" t="s">
        <v>1305</v>
      </c>
      <c r="O326" s="6" t="s">
        <v>1420</v>
      </c>
      <c r="P326" s="6" t="s">
        <v>1305</v>
      </c>
      <c r="Q326" s="6" t="str">
        <f t="shared" ref="Q326:Q357" si="14">IF(J326&lt;&gt;"",J326,_xlfn.CONCAT(O326," Other"))</f>
        <v>IS</v>
      </c>
      <c r="R326" s="21" t="s">
        <v>1610</v>
      </c>
    </row>
    <row r="327" spans="1:18" s="6" customFormat="1" x14ac:dyDescent="0.2">
      <c r="A327" s="3" t="str">
        <f t="shared" si="13"/>
        <v>F2EC_SUBN2</v>
      </c>
      <c r="B327" s="6" t="s">
        <v>15</v>
      </c>
      <c r="C327" s="6" t="s">
        <v>554</v>
      </c>
      <c r="D327" s="31" t="s">
        <v>1665</v>
      </c>
      <c r="E327" s="6" t="s">
        <v>504</v>
      </c>
      <c r="F327" s="6" t="s">
        <v>505</v>
      </c>
      <c r="G327" s="6" t="s">
        <v>1661</v>
      </c>
      <c r="H327" s="6" t="s">
        <v>1662</v>
      </c>
      <c r="I327" s="6" t="s">
        <v>507</v>
      </c>
      <c r="J327" s="6" t="s">
        <v>508</v>
      </c>
      <c r="K327" s="6" t="s">
        <v>509</v>
      </c>
      <c r="L327" s="6" t="s">
        <v>492</v>
      </c>
      <c r="M327" s="6" t="s">
        <v>493</v>
      </c>
      <c r="N327" s="6" t="s">
        <v>493</v>
      </c>
      <c r="O327" s="6" t="s">
        <v>510</v>
      </c>
      <c r="P327" s="6" t="s">
        <v>511</v>
      </c>
      <c r="Q327" s="6" t="str">
        <f t="shared" si="14"/>
        <v>Expert Cons.</v>
      </c>
      <c r="R327" s="21" t="s">
        <v>1667</v>
      </c>
    </row>
    <row r="328" spans="1:18" s="6" customFormat="1" x14ac:dyDescent="0.2">
      <c r="A328" s="3" t="str">
        <f t="shared" si="13"/>
        <v>RERC_SUBDX</v>
      </c>
      <c r="B328" s="6" t="s">
        <v>15</v>
      </c>
      <c r="C328" s="6" t="s">
        <v>1226</v>
      </c>
      <c r="D328" s="6" t="s">
        <v>1227</v>
      </c>
      <c r="E328" s="6" t="s">
        <v>820</v>
      </c>
      <c r="F328" s="6" t="s">
        <v>813</v>
      </c>
      <c r="G328" s="6" t="s">
        <v>1228</v>
      </c>
      <c r="H328" s="6" t="s">
        <v>1229</v>
      </c>
      <c r="I328" s="6" t="s">
        <v>823</v>
      </c>
      <c r="J328" s="6" t="s">
        <v>824</v>
      </c>
      <c r="K328" s="6" t="s">
        <v>825</v>
      </c>
      <c r="L328" s="6" t="s">
        <v>816</v>
      </c>
      <c r="M328" s="6" t="s">
        <v>817</v>
      </c>
      <c r="N328" s="6" t="s">
        <v>817</v>
      </c>
      <c r="O328" s="6" t="s">
        <v>817</v>
      </c>
      <c r="P328" s="6" t="s">
        <v>817</v>
      </c>
      <c r="Q328" s="6" t="str">
        <f t="shared" si="14"/>
        <v>TA CoE</v>
      </c>
      <c r="R328" s="25"/>
    </row>
    <row r="329" spans="1:18" s="6" customFormat="1" x14ac:dyDescent="0.2">
      <c r="A329" s="3" t="str">
        <f t="shared" si="13"/>
        <v>RERC_SUBDW</v>
      </c>
      <c r="B329" s="6" t="s">
        <v>15</v>
      </c>
      <c r="C329" s="6" t="s">
        <v>1218</v>
      </c>
      <c r="D329" s="6" t="s">
        <v>1219</v>
      </c>
      <c r="E329" s="6" t="s">
        <v>820</v>
      </c>
      <c r="F329" s="6" t="s">
        <v>813</v>
      </c>
      <c r="G329" s="6" t="s">
        <v>1220</v>
      </c>
      <c r="H329" s="6" t="s">
        <v>1221</v>
      </c>
      <c r="I329" s="6" t="s">
        <v>823</v>
      </c>
      <c r="J329" s="6" t="s">
        <v>824</v>
      </c>
      <c r="K329" s="6" t="s">
        <v>825</v>
      </c>
      <c r="L329" s="6" t="s">
        <v>816</v>
      </c>
      <c r="M329" s="6" t="s">
        <v>817</v>
      </c>
      <c r="N329" s="6" t="s">
        <v>817</v>
      </c>
      <c r="O329" s="6" t="s">
        <v>817</v>
      </c>
      <c r="P329" s="6" t="s">
        <v>817</v>
      </c>
      <c r="Q329" s="6" t="str">
        <f t="shared" si="14"/>
        <v>TA CoE</v>
      </c>
      <c r="R329" s="25"/>
    </row>
    <row r="330" spans="1:18" s="6" customFormat="1" x14ac:dyDescent="0.2">
      <c r="A330" s="3" t="str">
        <f t="shared" si="13"/>
        <v>RERC_SUBDY</v>
      </c>
      <c r="B330" s="6" t="s">
        <v>15</v>
      </c>
      <c r="C330" s="6" t="s">
        <v>1231</v>
      </c>
      <c r="D330" s="6" t="s">
        <v>1232</v>
      </c>
      <c r="E330" s="6" t="s">
        <v>820</v>
      </c>
      <c r="F330" s="6" t="s">
        <v>813</v>
      </c>
      <c r="G330" s="6" t="s">
        <v>1233</v>
      </c>
      <c r="H330" s="6" t="s">
        <v>1234</v>
      </c>
      <c r="I330" s="6" t="s">
        <v>823</v>
      </c>
      <c r="J330" s="6" t="s">
        <v>824</v>
      </c>
      <c r="K330" s="6" t="s">
        <v>825</v>
      </c>
      <c r="L330" s="6" t="s">
        <v>816</v>
      </c>
      <c r="M330" s="6" t="s">
        <v>817</v>
      </c>
      <c r="N330" s="6" t="s">
        <v>817</v>
      </c>
      <c r="O330" s="6" t="s">
        <v>817</v>
      </c>
      <c r="P330" s="6" t="s">
        <v>817</v>
      </c>
      <c r="Q330" s="6" t="str">
        <f t="shared" si="14"/>
        <v>TA CoE</v>
      </c>
      <c r="R330" s="25"/>
    </row>
    <row r="331" spans="1:18" s="6" customFormat="1" x14ac:dyDescent="0.2">
      <c r="A331" s="3" t="str">
        <f t="shared" si="13"/>
        <v>RERC_SUBWQ</v>
      </c>
      <c r="B331" s="6" t="s">
        <v>23</v>
      </c>
      <c r="C331" s="6" t="s">
        <v>826</v>
      </c>
      <c r="D331" s="6" t="s">
        <v>827</v>
      </c>
      <c r="E331" s="6" t="s">
        <v>820</v>
      </c>
      <c r="F331" s="6" t="s">
        <v>813</v>
      </c>
      <c r="G331" s="6" t="s">
        <v>828</v>
      </c>
      <c r="H331" s="6" t="s">
        <v>829</v>
      </c>
      <c r="I331" s="6" t="s">
        <v>823</v>
      </c>
      <c r="J331" s="6" t="s">
        <v>824</v>
      </c>
      <c r="K331" s="6" t="s">
        <v>825</v>
      </c>
      <c r="L331" s="6" t="s">
        <v>816</v>
      </c>
      <c r="M331" s="6" t="s">
        <v>817</v>
      </c>
      <c r="N331" s="6" t="s">
        <v>817</v>
      </c>
      <c r="O331" s="6" t="s">
        <v>817</v>
      </c>
      <c r="P331" s="6" t="s">
        <v>817</v>
      </c>
      <c r="Q331" s="6" t="str">
        <f t="shared" si="14"/>
        <v>TA CoE</v>
      </c>
      <c r="R331" s="25"/>
    </row>
    <row r="332" spans="1:18" s="6" customFormat="1" x14ac:dyDescent="0.2">
      <c r="A332" s="3" t="str">
        <f t="shared" si="13"/>
        <v>RERC_SUBWO</v>
      </c>
      <c r="B332" s="6" t="s">
        <v>15</v>
      </c>
      <c r="C332" s="6" t="s">
        <v>818</v>
      </c>
      <c r="D332" s="6" t="s">
        <v>819</v>
      </c>
      <c r="E332" s="6" t="s">
        <v>820</v>
      </c>
      <c r="F332" s="6" t="s">
        <v>813</v>
      </c>
      <c r="G332" s="6" t="s">
        <v>821</v>
      </c>
      <c r="H332" s="6" t="s">
        <v>822</v>
      </c>
      <c r="I332" s="6" t="s">
        <v>823</v>
      </c>
      <c r="J332" s="6" t="s">
        <v>824</v>
      </c>
      <c r="K332" s="6" t="s">
        <v>825</v>
      </c>
      <c r="L332" s="6" t="s">
        <v>816</v>
      </c>
      <c r="M332" s="6" t="s">
        <v>817</v>
      </c>
      <c r="N332" s="6" t="s">
        <v>817</v>
      </c>
      <c r="O332" s="6" t="s">
        <v>817</v>
      </c>
      <c r="P332" s="6" t="s">
        <v>817</v>
      </c>
      <c r="Q332" s="6" t="str">
        <f t="shared" si="14"/>
        <v>TA CoE</v>
      </c>
      <c r="R332" s="25"/>
    </row>
    <row r="333" spans="1:18" s="6" customFormat="1" x14ac:dyDescent="0.2">
      <c r="A333" s="3" t="str">
        <f t="shared" si="13"/>
        <v>RERC_SUBE8</v>
      </c>
      <c r="B333" s="6" t="s">
        <v>15</v>
      </c>
      <c r="C333" s="6" t="s">
        <v>1235</v>
      </c>
      <c r="D333" s="6" t="s">
        <v>1236</v>
      </c>
      <c r="E333" s="6" t="s">
        <v>820</v>
      </c>
      <c r="F333" s="6" t="s">
        <v>813</v>
      </c>
      <c r="G333" s="6" t="s">
        <v>1237</v>
      </c>
      <c r="H333" s="6" t="s">
        <v>1238</v>
      </c>
      <c r="I333" s="6" t="s">
        <v>823</v>
      </c>
      <c r="J333" s="6" t="s">
        <v>824</v>
      </c>
      <c r="K333" s="6" t="s">
        <v>825</v>
      </c>
      <c r="L333" s="6" t="s">
        <v>816</v>
      </c>
      <c r="M333" s="6" t="s">
        <v>817</v>
      </c>
      <c r="N333" s="6" t="s">
        <v>817</v>
      </c>
      <c r="O333" s="6" t="s">
        <v>817</v>
      </c>
      <c r="P333" s="6" t="s">
        <v>817</v>
      </c>
      <c r="Q333" s="6" t="str">
        <f t="shared" si="14"/>
        <v>TA CoE</v>
      </c>
      <c r="R333" s="25"/>
    </row>
    <row r="334" spans="1:18" s="6" customFormat="1" x14ac:dyDescent="0.2">
      <c r="A334" s="3" t="str">
        <f t="shared" si="13"/>
        <v>THME_SUBGV</v>
      </c>
      <c r="B334" s="6" t="s">
        <v>23</v>
      </c>
      <c r="C334" s="6" t="s">
        <v>160</v>
      </c>
      <c r="D334" s="20" t="s">
        <v>1584</v>
      </c>
      <c r="E334" s="20" t="s">
        <v>1585</v>
      </c>
      <c r="F334" s="6" t="s">
        <v>884</v>
      </c>
      <c r="G334" s="6" t="s">
        <v>1587</v>
      </c>
      <c r="H334" s="6" t="s">
        <v>1586</v>
      </c>
      <c r="I334" s="20" t="s">
        <v>1588</v>
      </c>
      <c r="J334" s="6" t="s">
        <v>1589</v>
      </c>
      <c r="K334" s="6" t="s">
        <v>1590</v>
      </c>
      <c r="L334" s="6" t="s">
        <v>887</v>
      </c>
      <c r="M334" s="6" t="s">
        <v>888</v>
      </c>
      <c r="N334" s="6" t="s">
        <v>889</v>
      </c>
      <c r="O334" s="6" t="s">
        <v>888</v>
      </c>
      <c r="P334" s="6" t="s">
        <v>889</v>
      </c>
      <c r="Q334" s="6" t="str">
        <f t="shared" si="14"/>
        <v>Strategy &amp; Experience</v>
      </c>
      <c r="R334" s="21" t="s">
        <v>1593</v>
      </c>
    </row>
    <row r="335" spans="1:18" s="6" customFormat="1" x14ac:dyDescent="0.2">
      <c r="A335" s="3" t="str">
        <f t="shared" si="13"/>
        <v>THME_SUBIB</v>
      </c>
      <c r="B335" s="6" t="s">
        <v>15</v>
      </c>
      <c r="C335" s="20" t="s">
        <v>1583</v>
      </c>
      <c r="D335" s="20" t="s">
        <v>1584</v>
      </c>
      <c r="E335" s="20" t="s">
        <v>1585</v>
      </c>
      <c r="F335" s="6" t="s">
        <v>884</v>
      </c>
      <c r="G335" s="6" t="s">
        <v>1587</v>
      </c>
      <c r="H335" s="6" t="s">
        <v>1586</v>
      </c>
      <c r="I335" s="20" t="s">
        <v>1588</v>
      </c>
      <c r="J335" s="6" t="s">
        <v>1589</v>
      </c>
      <c r="K335" s="6" t="s">
        <v>1590</v>
      </c>
      <c r="L335" s="6" t="s">
        <v>887</v>
      </c>
      <c r="M335" s="6" t="s">
        <v>888</v>
      </c>
      <c r="N335" s="6" t="s">
        <v>889</v>
      </c>
      <c r="O335" s="6" t="s">
        <v>888</v>
      </c>
      <c r="P335" s="6" t="s">
        <v>889</v>
      </c>
      <c r="Q335" s="6" t="str">
        <f t="shared" si="14"/>
        <v>Strategy &amp; Experience</v>
      </c>
      <c r="R335" s="21" t="s">
        <v>1592</v>
      </c>
    </row>
    <row r="336" spans="1:18" s="6" customFormat="1" x14ac:dyDescent="0.2">
      <c r="A336" s="3" t="str">
        <f t="shared" si="13"/>
        <v>THME_SUBB0</v>
      </c>
      <c r="B336" s="6" t="s">
        <v>23</v>
      </c>
      <c r="C336" s="6" t="s">
        <v>894</v>
      </c>
      <c r="D336" s="20" t="s">
        <v>1584</v>
      </c>
      <c r="E336" s="20" t="s">
        <v>1585</v>
      </c>
      <c r="F336" s="6" t="s">
        <v>884</v>
      </c>
      <c r="G336" s="6" t="s">
        <v>1587</v>
      </c>
      <c r="H336" s="6" t="s">
        <v>1586</v>
      </c>
      <c r="I336" s="20" t="s">
        <v>1588</v>
      </c>
      <c r="J336" s="6" t="s">
        <v>1589</v>
      </c>
      <c r="K336" s="6" t="s">
        <v>1590</v>
      </c>
      <c r="L336" s="6" t="s">
        <v>887</v>
      </c>
      <c r="M336" s="6" t="s">
        <v>888</v>
      </c>
      <c r="N336" s="6" t="s">
        <v>889</v>
      </c>
      <c r="O336" s="6" t="s">
        <v>888</v>
      </c>
      <c r="P336" s="6" t="s">
        <v>889</v>
      </c>
      <c r="Q336" s="6" t="str">
        <f t="shared" si="14"/>
        <v>Strategy &amp; Experience</v>
      </c>
      <c r="R336" s="21" t="s">
        <v>1593</v>
      </c>
    </row>
    <row r="337" spans="1:18" s="6" customFormat="1" x14ac:dyDescent="0.2">
      <c r="A337" s="3" t="str">
        <f t="shared" si="13"/>
        <v>THME_SUBA6</v>
      </c>
      <c r="B337" s="6" t="s">
        <v>23</v>
      </c>
      <c r="C337" s="6" t="s">
        <v>157</v>
      </c>
      <c r="D337" s="20" t="s">
        <v>1584</v>
      </c>
      <c r="E337" s="20" t="s">
        <v>1585</v>
      </c>
      <c r="F337" s="6" t="s">
        <v>884</v>
      </c>
      <c r="G337" s="6" t="s">
        <v>1587</v>
      </c>
      <c r="H337" s="6" t="s">
        <v>1586</v>
      </c>
      <c r="I337" s="20" t="s">
        <v>1588</v>
      </c>
      <c r="J337" s="6" t="s">
        <v>1589</v>
      </c>
      <c r="K337" s="6" t="s">
        <v>1590</v>
      </c>
      <c r="L337" s="6" t="s">
        <v>887</v>
      </c>
      <c r="M337" s="6" t="s">
        <v>888</v>
      </c>
      <c r="N337" s="6" t="s">
        <v>889</v>
      </c>
      <c r="O337" s="6" t="s">
        <v>888</v>
      </c>
      <c r="P337" s="6" t="s">
        <v>889</v>
      </c>
      <c r="Q337" s="6" t="str">
        <f t="shared" si="14"/>
        <v>Strategy &amp; Experience</v>
      </c>
      <c r="R337" s="21" t="s">
        <v>1593</v>
      </c>
    </row>
    <row r="338" spans="1:18" s="6" customFormat="1" x14ac:dyDescent="0.2">
      <c r="A338" s="3" t="str">
        <f t="shared" si="13"/>
        <v>THME_SUBA7</v>
      </c>
      <c r="B338" s="6" t="s">
        <v>23</v>
      </c>
      <c r="C338" s="6" t="s">
        <v>154</v>
      </c>
      <c r="D338" s="20" t="s">
        <v>1584</v>
      </c>
      <c r="E338" s="20" t="s">
        <v>1585</v>
      </c>
      <c r="F338" s="6" t="s">
        <v>884</v>
      </c>
      <c r="G338" s="6" t="s">
        <v>1587</v>
      </c>
      <c r="H338" s="6" t="s">
        <v>1586</v>
      </c>
      <c r="I338" s="20" t="s">
        <v>1588</v>
      </c>
      <c r="J338" s="6" t="s">
        <v>1589</v>
      </c>
      <c r="K338" s="6" t="s">
        <v>1590</v>
      </c>
      <c r="L338" s="6" t="s">
        <v>887</v>
      </c>
      <c r="M338" s="6" t="s">
        <v>888</v>
      </c>
      <c r="N338" s="6" t="s">
        <v>889</v>
      </c>
      <c r="O338" s="6" t="s">
        <v>888</v>
      </c>
      <c r="P338" s="6" t="s">
        <v>889</v>
      </c>
      <c r="Q338" s="6" t="str">
        <f t="shared" si="14"/>
        <v>Strategy &amp; Experience</v>
      </c>
      <c r="R338" s="21" t="s">
        <v>1593</v>
      </c>
    </row>
    <row r="339" spans="1:18" s="6" customFormat="1" x14ac:dyDescent="0.2">
      <c r="A339" s="3" t="str">
        <f t="shared" si="13"/>
        <v>THME_SUBEE</v>
      </c>
      <c r="B339" s="6" t="s">
        <v>23</v>
      </c>
      <c r="C339" s="6" t="s">
        <v>991</v>
      </c>
      <c r="D339" s="20" t="s">
        <v>1584</v>
      </c>
      <c r="E339" s="20" t="s">
        <v>1585</v>
      </c>
      <c r="F339" s="6" t="s">
        <v>884</v>
      </c>
      <c r="G339" s="6" t="s">
        <v>1587</v>
      </c>
      <c r="H339" s="6" t="s">
        <v>1586</v>
      </c>
      <c r="I339" s="20" t="s">
        <v>1588</v>
      </c>
      <c r="J339" s="6" t="s">
        <v>1589</v>
      </c>
      <c r="K339" s="6" t="s">
        <v>1590</v>
      </c>
      <c r="L339" s="6" t="s">
        <v>887</v>
      </c>
      <c r="M339" s="6" t="s">
        <v>888</v>
      </c>
      <c r="N339" s="6" t="s">
        <v>889</v>
      </c>
      <c r="O339" s="6" t="s">
        <v>888</v>
      </c>
      <c r="P339" s="6" t="s">
        <v>889</v>
      </c>
      <c r="Q339" s="6" t="str">
        <f t="shared" si="14"/>
        <v>Strategy &amp; Experience</v>
      </c>
      <c r="R339" s="21" t="s">
        <v>1593</v>
      </c>
    </row>
    <row r="340" spans="1:18" s="6" customFormat="1" x14ac:dyDescent="0.2">
      <c r="A340" s="3" t="str">
        <f t="shared" si="13"/>
        <v>THME_SUBVI</v>
      </c>
      <c r="B340" s="6" t="s">
        <v>23</v>
      </c>
      <c r="C340" s="6" t="s">
        <v>899</v>
      </c>
      <c r="D340" s="20" t="s">
        <v>1584</v>
      </c>
      <c r="E340" s="20" t="s">
        <v>1585</v>
      </c>
      <c r="F340" s="6" t="s">
        <v>884</v>
      </c>
      <c r="G340" s="6" t="s">
        <v>1587</v>
      </c>
      <c r="H340" s="6" t="s">
        <v>1586</v>
      </c>
      <c r="I340" s="20" t="s">
        <v>1588</v>
      </c>
      <c r="J340" s="6" t="s">
        <v>1589</v>
      </c>
      <c r="K340" s="6" t="s">
        <v>1590</v>
      </c>
      <c r="L340" s="6" t="s">
        <v>887</v>
      </c>
      <c r="M340" s="6" t="s">
        <v>888</v>
      </c>
      <c r="N340" s="6" t="s">
        <v>889</v>
      </c>
      <c r="O340" s="6" t="s">
        <v>888</v>
      </c>
      <c r="P340" s="6" t="s">
        <v>889</v>
      </c>
      <c r="Q340" s="6" t="str">
        <f t="shared" si="14"/>
        <v>Strategy &amp; Experience</v>
      </c>
      <c r="R340" s="21" t="s">
        <v>1593</v>
      </c>
    </row>
    <row r="341" spans="1:18" s="6" customFormat="1" x14ac:dyDescent="0.2">
      <c r="A341" s="3" t="str">
        <f t="shared" si="13"/>
        <v>THGT_SUBXX_TMCOE</v>
      </c>
      <c r="B341" s="6" t="s">
        <v>23</v>
      </c>
      <c r="C341" s="6" t="s">
        <v>1012</v>
      </c>
      <c r="D341" s="6" t="s">
        <v>1013</v>
      </c>
      <c r="E341" s="6" t="s">
        <v>977</v>
      </c>
      <c r="F341" s="6" t="s">
        <v>884</v>
      </c>
      <c r="G341" s="6" t="s">
        <v>1013</v>
      </c>
      <c r="H341" s="6" t="s">
        <v>1013</v>
      </c>
      <c r="I341" s="6" t="s">
        <v>980</v>
      </c>
      <c r="J341" s="6" t="s">
        <v>981</v>
      </c>
      <c r="K341" s="6" t="s">
        <v>982</v>
      </c>
      <c r="L341" s="6" t="s">
        <v>887</v>
      </c>
      <c r="M341" s="6" t="s">
        <v>888</v>
      </c>
      <c r="N341" s="6" t="s">
        <v>889</v>
      </c>
      <c r="O341" s="6" t="s">
        <v>888</v>
      </c>
      <c r="P341" s="6" t="s">
        <v>889</v>
      </c>
      <c r="Q341" s="6" t="str">
        <f t="shared" si="14"/>
        <v>Talent COE</v>
      </c>
      <c r="R341" s="25"/>
    </row>
    <row r="342" spans="1:18" s="6" customFormat="1" x14ac:dyDescent="0.2">
      <c r="A342" s="3" t="str">
        <f t="shared" si="13"/>
        <v>F18MK_SUBEW</v>
      </c>
      <c r="B342" s="6" t="s">
        <v>15</v>
      </c>
      <c r="C342" s="6" t="s">
        <v>1277</v>
      </c>
      <c r="D342" s="30" t="s">
        <v>1747</v>
      </c>
      <c r="E342" s="6" t="s">
        <v>1308</v>
      </c>
      <c r="F342" s="6" t="s">
        <v>1304</v>
      </c>
      <c r="G342" s="6" t="s">
        <v>1760</v>
      </c>
      <c r="H342" s="6" t="s">
        <v>1761</v>
      </c>
      <c r="I342" s="6" t="s">
        <v>1299</v>
      </c>
      <c r="J342" s="6" t="s">
        <v>1364</v>
      </c>
      <c r="K342" s="6" t="s">
        <v>1314</v>
      </c>
      <c r="L342" s="6" t="s">
        <v>447</v>
      </c>
      <c r="M342" s="6" t="s">
        <v>1420</v>
      </c>
      <c r="N342" s="6" t="s">
        <v>1305</v>
      </c>
      <c r="O342" s="6" t="s">
        <v>1420</v>
      </c>
      <c r="P342" s="6" t="s">
        <v>1305</v>
      </c>
      <c r="Q342" s="6" t="str">
        <f t="shared" si="14"/>
        <v>DWX</v>
      </c>
      <c r="R342" s="21" t="s">
        <v>1626</v>
      </c>
    </row>
    <row r="343" spans="1:18" s="6" customFormat="1" ht="25.5" x14ac:dyDescent="0.2">
      <c r="A343" s="3" t="str">
        <f t="shared" si="13"/>
        <v>RERT_SUBBX</v>
      </c>
      <c r="B343" s="6" t="s">
        <v>15</v>
      </c>
      <c r="C343" s="6" t="s">
        <v>846</v>
      </c>
      <c r="D343" s="32" t="s">
        <v>1677</v>
      </c>
      <c r="E343" s="6" t="s">
        <v>839</v>
      </c>
      <c r="F343" s="6" t="s">
        <v>813</v>
      </c>
      <c r="G343" s="6" t="s">
        <v>1769</v>
      </c>
      <c r="H343" s="32" t="s">
        <v>1770</v>
      </c>
      <c r="I343" s="6" t="s">
        <v>841</v>
      </c>
      <c r="J343" s="6" t="s">
        <v>842</v>
      </c>
      <c r="K343" s="6" t="s">
        <v>843</v>
      </c>
      <c r="L343" s="6" t="s">
        <v>816</v>
      </c>
      <c r="M343" s="6" t="s">
        <v>817</v>
      </c>
      <c r="N343" s="6" t="s">
        <v>817</v>
      </c>
      <c r="O343" s="6" t="s">
        <v>817</v>
      </c>
      <c r="P343" s="6" t="s">
        <v>817</v>
      </c>
      <c r="Q343" s="6" t="str">
        <f t="shared" si="14"/>
        <v>TA Teams</v>
      </c>
      <c r="R343" s="24"/>
    </row>
    <row r="344" spans="1:18" s="6" customFormat="1" x14ac:dyDescent="0.2">
      <c r="A344" s="3" t="str">
        <f t="shared" si="13"/>
        <v>F10EA_SUBCI</v>
      </c>
      <c r="B344" s="6" t="s">
        <v>15</v>
      </c>
      <c r="C344" s="6" t="s">
        <v>268</v>
      </c>
      <c r="D344" s="30" t="s">
        <v>1678</v>
      </c>
      <c r="E344" s="6" t="s">
        <v>270</v>
      </c>
      <c r="F344" s="6" t="s">
        <v>189</v>
      </c>
      <c r="G344" s="6" t="s">
        <v>1705</v>
      </c>
      <c r="H344" s="6" t="s">
        <v>1705</v>
      </c>
      <c r="I344" s="6" t="s">
        <v>271</v>
      </c>
      <c r="J344" s="6" t="s">
        <v>272</v>
      </c>
      <c r="K344" s="6" t="s">
        <v>272</v>
      </c>
      <c r="L344" s="6" t="s">
        <v>191</v>
      </c>
      <c r="M344" s="6" t="s">
        <v>192</v>
      </c>
      <c r="N344" s="6" t="s">
        <v>192</v>
      </c>
      <c r="O344" s="6" t="s">
        <v>192</v>
      </c>
      <c r="P344" s="6" t="s">
        <v>192</v>
      </c>
      <c r="Q344" s="6" t="str">
        <f t="shared" si="14"/>
        <v>External Affairs</v>
      </c>
      <c r="R344" s="21"/>
    </row>
    <row r="345" spans="1:18" s="6" customFormat="1" x14ac:dyDescent="0.2">
      <c r="A345" s="3" t="str">
        <f t="shared" si="13"/>
        <v>F18MJ_SUBDZ</v>
      </c>
      <c r="B345" s="6" t="s">
        <v>15</v>
      </c>
      <c r="C345" s="6" t="s">
        <v>1267</v>
      </c>
      <c r="D345" s="6" t="s">
        <v>1679</v>
      </c>
      <c r="E345" s="6" t="s">
        <v>1307</v>
      </c>
      <c r="F345" s="6" t="s">
        <v>1304</v>
      </c>
      <c r="G345" s="6" t="s">
        <v>1359</v>
      </c>
      <c r="H345" s="6" t="s">
        <v>1718</v>
      </c>
      <c r="I345" s="6" t="s">
        <v>1298</v>
      </c>
      <c r="J345" s="6" t="s">
        <v>1319</v>
      </c>
      <c r="K345" s="6" t="s">
        <v>1313</v>
      </c>
      <c r="L345" s="6" t="s">
        <v>447</v>
      </c>
      <c r="M345" s="6" t="s">
        <v>1420</v>
      </c>
      <c r="N345" s="6" t="s">
        <v>1305</v>
      </c>
      <c r="O345" s="6" t="s">
        <v>1420</v>
      </c>
      <c r="P345" s="6" t="s">
        <v>1305</v>
      </c>
      <c r="Q345" s="6" t="str">
        <f t="shared" si="14"/>
        <v>BSS</v>
      </c>
      <c r="R345" s="25"/>
    </row>
    <row r="346" spans="1:18" s="6" customFormat="1" x14ac:dyDescent="0.2">
      <c r="A346" s="3" t="str">
        <f t="shared" si="13"/>
        <v>F18MP_SUBEB</v>
      </c>
      <c r="B346" s="6" t="s">
        <v>15</v>
      </c>
      <c r="C346" s="6" t="s">
        <v>1263</v>
      </c>
      <c r="D346" s="32" t="s">
        <v>1767</v>
      </c>
      <c r="E346" s="20" t="s">
        <v>1641</v>
      </c>
      <c r="F346" s="6" t="s">
        <v>1304</v>
      </c>
      <c r="G346" s="6" t="s">
        <v>1766</v>
      </c>
      <c r="H346" s="6" t="s">
        <v>1767</v>
      </c>
      <c r="I346" s="20" t="s">
        <v>1297</v>
      </c>
      <c r="J346" s="6" t="s">
        <v>1647</v>
      </c>
      <c r="K346" s="6" t="s">
        <v>1649</v>
      </c>
      <c r="L346" s="6" t="s">
        <v>447</v>
      </c>
      <c r="M346" s="6" t="s">
        <v>1420</v>
      </c>
      <c r="N346" s="6" t="s">
        <v>1305</v>
      </c>
      <c r="O346" s="6" t="s">
        <v>1420</v>
      </c>
      <c r="P346" s="6" t="s">
        <v>1305</v>
      </c>
      <c r="Q346" s="6" t="str">
        <f t="shared" si="14"/>
        <v>Finance &amp; Global Ops Tech</v>
      </c>
      <c r="R346" s="25"/>
    </row>
    <row r="347" spans="1:18" s="6" customFormat="1" x14ac:dyDescent="0.2">
      <c r="A347" s="3" t="str">
        <f t="shared" si="13"/>
        <v>F18MJ_SUBEK</v>
      </c>
      <c r="B347" s="6" t="s">
        <v>15</v>
      </c>
      <c r="C347" s="6" t="s">
        <v>1271</v>
      </c>
      <c r="D347" s="6" t="s">
        <v>1680</v>
      </c>
      <c r="E347" s="6" t="s">
        <v>1307</v>
      </c>
      <c r="F347" s="6" t="s">
        <v>1304</v>
      </c>
      <c r="G347" s="6" t="s">
        <v>1360</v>
      </c>
      <c r="H347" s="6" t="s">
        <v>1719</v>
      </c>
      <c r="I347" s="6" t="s">
        <v>1298</v>
      </c>
      <c r="J347" s="6" t="s">
        <v>1319</v>
      </c>
      <c r="K347" s="6" t="s">
        <v>1313</v>
      </c>
      <c r="L347" s="6" t="s">
        <v>447</v>
      </c>
      <c r="M347" s="6" t="s">
        <v>1420</v>
      </c>
      <c r="N347" s="6" t="s">
        <v>1305</v>
      </c>
      <c r="O347" s="6" t="s">
        <v>1420</v>
      </c>
      <c r="P347" s="6" t="s">
        <v>1305</v>
      </c>
      <c r="Q347" s="6" t="str">
        <f t="shared" si="14"/>
        <v>BSS</v>
      </c>
      <c r="R347" s="25"/>
    </row>
    <row r="348" spans="1:18" s="6" customFormat="1" x14ac:dyDescent="0.2">
      <c r="A348" s="3" t="str">
        <f t="shared" si="13"/>
        <v>F18MJ_SUBEL</v>
      </c>
      <c r="B348" s="6" t="s">
        <v>15</v>
      </c>
      <c r="C348" s="6" t="s">
        <v>1279</v>
      </c>
      <c r="D348" s="6" t="s">
        <v>1681</v>
      </c>
      <c r="E348" s="6" t="s">
        <v>1307</v>
      </c>
      <c r="F348" s="6" t="s">
        <v>1304</v>
      </c>
      <c r="G348" s="6" t="s">
        <v>1361</v>
      </c>
      <c r="H348" s="6" t="s">
        <v>1720</v>
      </c>
      <c r="I348" s="6" t="s">
        <v>1298</v>
      </c>
      <c r="J348" s="6" t="s">
        <v>1319</v>
      </c>
      <c r="K348" s="6" t="s">
        <v>1313</v>
      </c>
      <c r="L348" s="6" t="s">
        <v>447</v>
      </c>
      <c r="M348" s="6" t="s">
        <v>1420</v>
      </c>
      <c r="N348" s="6" t="s">
        <v>1305</v>
      </c>
      <c r="O348" s="6" t="s">
        <v>1420</v>
      </c>
      <c r="P348" s="6" t="s">
        <v>1305</v>
      </c>
      <c r="Q348" s="6" t="str">
        <f t="shared" si="14"/>
        <v>BSS</v>
      </c>
      <c r="R348" s="25"/>
    </row>
    <row r="349" spans="1:18" s="6" customFormat="1" x14ac:dyDescent="0.2">
      <c r="A349" s="3" t="str">
        <f t="shared" si="13"/>
        <v>F18MJ_SUBEQ</v>
      </c>
      <c r="B349" s="6" t="s">
        <v>15</v>
      </c>
      <c r="C349" s="6" t="s">
        <v>1243</v>
      </c>
      <c r="D349" s="6" t="s">
        <v>1682</v>
      </c>
      <c r="E349" s="6" t="s">
        <v>1307</v>
      </c>
      <c r="F349" s="6" t="s">
        <v>1304</v>
      </c>
      <c r="G349" s="6" t="s">
        <v>1357</v>
      </c>
      <c r="H349" s="6" t="s">
        <v>1721</v>
      </c>
      <c r="I349" s="6" t="s">
        <v>1298</v>
      </c>
      <c r="J349" s="6" t="s">
        <v>1319</v>
      </c>
      <c r="K349" s="6" t="s">
        <v>1313</v>
      </c>
      <c r="L349" s="6" t="s">
        <v>447</v>
      </c>
      <c r="M349" s="6" t="s">
        <v>1420</v>
      </c>
      <c r="N349" s="6" t="s">
        <v>1305</v>
      </c>
      <c r="O349" s="6" t="s">
        <v>1420</v>
      </c>
      <c r="P349" s="6" t="s">
        <v>1305</v>
      </c>
      <c r="Q349" s="6" t="str">
        <f t="shared" si="14"/>
        <v>BSS</v>
      </c>
      <c r="R349" s="25"/>
    </row>
    <row r="350" spans="1:18" s="6" customFormat="1" x14ac:dyDescent="0.2">
      <c r="A350" s="3" t="str">
        <f t="shared" si="13"/>
        <v>F18MJ_SUBEU</v>
      </c>
      <c r="B350" s="6" t="s">
        <v>15</v>
      </c>
      <c r="C350" s="6" t="s">
        <v>1257</v>
      </c>
      <c r="D350" s="6" t="s">
        <v>1683</v>
      </c>
      <c r="E350" s="6" t="s">
        <v>1307</v>
      </c>
      <c r="F350" s="6" t="s">
        <v>1304</v>
      </c>
      <c r="G350" s="6" t="s">
        <v>1358</v>
      </c>
      <c r="H350" s="6" t="s">
        <v>1722</v>
      </c>
      <c r="I350" s="6" t="s">
        <v>1298</v>
      </c>
      <c r="J350" s="6" t="s">
        <v>1319</v>
      </c>
      <c r="K350" s="6" t="s">
        <v>1313</v>
      </c>
      <c r="L350" s="6" t="s">
        <v>447</v>
      </c>
      <c r="M350" s="6" t="s">
        <v>1420</v>
      </c>
      <c r="N350" s="6" t="s">
        <v>1305</v>
      </c>
      <c r="O350" s="6" t="s">
        <v>1420</v>
      </c>
      <c r="P350" s="6" t="s">
        <v>1305</v>
      </c>
      <c r="Q350" s="6" t="str">
        <f t="shared" si="14"/>
        <v>BSS</v>
      </c>
      <c r="R350" s="25"/>
    </row>
    <row r="351" spans="1:18" s="6" customFormat="1" x14ac:dyDescent="0.2">
      <c r="A351" s="3" t="str">
        <f t="shared" si="13"/>
        <v>F18MK_SUBKT</v>
      </c>
      <c r="B351" s="6" t="s">
        <v>23</v>
      </c>
      <c r="C351" s="6" t="s">
        <v>448</v>
      </c>
      <c r="D351" s="30" t="s">
        <v>1747</v>
      </c>
      <c r="E351" s="6" t="s">
        <v>1308</v>
      </c>
      <c r="F351" s="6" t="s">
        <v>1304</v>
      </c>
      <c r="G351" s="6" t="s">
        <v>1760</v>
      </c>
      <c r="H351" s="6" t="s">
        <v>1761</v>
      </c>
      <c r="I351" s="6" t="s">
        <v>1299</v>
      </c>
      <c r="J351" s="6" t="s">
        <v>1364</v>
      </c>
      <c r="K351" s="6" t="s">
        <v>1314</v>
      </c>
      <c r="L351" s="6" t="s">
        <v>447</v>
      </c>
      <c r="M351" s="6" t="s">
        <v>1420</v>
      </c>
      <c r="N351" s="6" t="s">
        <v>1305</v>
      </c>
      <c r="O351" s="6" t="s">
        <v>1420</v>
      </c>
      <c r="P351" s="6" t="s">
        <v>1305</v>
      </c>
      <c r="Q351" s="6" t="str">
        <f t="shared" si="14"/>
        <v>DWX</v>
      </c>
      <c r="R351" s="21" t="s">
        <v>1539</v>
      </c>
    </row>
    <row r="352" spans="1:18" s="6" customFormat="1" x14ac:dyDescent="0.2">
      <c r="A352" s="3" t="str">
        <f t="shared" si="13"/>
        <v>F18MK_SUBEZ</v>
      </c>
      <c r="B352" s="6" t="s">
        <v>15</v>
      </c>
      <c r="C352" s="6" t="s">
        <v>1283</v>
      </c>
      <c r="D352" s="6" t="s">
        <v>1684</v>
      </c>
      <c r="E352" s="6" t="s">
        <v>1308</v>
      </c>
      <c r="F352" s="6" t="s">
        <v>1304</v>
      </c>
      <c r="G352" s="6" t="s">
        <v>1706</v>
      </c>
      <c r="H352" s="6" t="s">
        <v>1723</v>
      </c>
      <c r="I352" s="6" t="s">
        <v>1299</v>
      </c>
      <c r="J352" s="6" t="s">
        <v>1364</v>
      </c>
      <c r="K352" s="6" t="s">
        <v>1314</v>
      </c>
      <c r="L352" s="6" t="s">
        <v>447</v>
      </c>
      <c r="M352" s="6" t="s">
        <v>1420</v>
      </c>
      <c r="N352" s="6" t="s">
        <v>1305</v>
      </c>
      <c r="O352" s="6" t="s">
        <v>1420</v>
      </c>
      <c r="P352" s="6" t="s">
        <v>1305</v>
      </c>
      <c r="Q352" s="6" t="str">
        <f t="shared" si="14"/>
        <v>DWX</v>
      </c>
      <c r="R352" s="25"/>
    </row>
    <row r="353" spans="1:18" s="6" customFormat="1" x14ac:dyDescent="0.2">
      <c r="A353" s="3" t="str">
        <f t="shared" si="13"/>
        <v>F18MK_SUBFB</v>
      </c>
      <c r="B353" s="6" t="s">
        <v>15</v>
      </c>
      <c r="C353" s="6" t="s">
        <v>1281</v>
      </c>
      <c r="D353" s="6" t="s">
        <v>1685</v>
      </c>
      <c r="E353" s="6" t="s">
        <v>1308</v>
      </c>
      <c r="F353" s="6" t="s">
        <v>1304</v>
      </c>
      <c r="G353" s="6" t="s">
        <v>1707</v>
      </c>
      <c r="H353" s="6" t="s">
        <v>1724</v>
      </c>
      <c r="I353" s="6" t="s">
        <v>1299</v>
      </c>
      <c r="J353" s="6" t="s">
        <v>1364</v>
      </c>
      <c r="K353" s="6" t="s">
        <v>1314</v>
      </c>
      <c r="L353" s="6" t="s">
        <v>447</v>
      </c>
      <c r="M353" s="6" t="s">
        <v>1420</v>
      </c>
      <c r="N353" s="6" t="s">
        <v>1305</v>
      </c>
      <c r="O353" s="6" t="s">
        <v>1420</v>
      </c>
      <c r="P353" s="6" t="s">
        <v>1305</v>
      </c>
      <c r="Q353" s="6" t="str">
        <f t="shared" si="14"/>
        <v>DWX</v>
      </c>
      <c r="R353" s="25"/>
    </row>
    <row r="354" spans="1:18" s="6" customFormat="1" x14ac:dyDescent="0.2">
      <c r="A354" s="3" t="str">
        <f t="shared" si="13"/>
        <v>F18MK_SUBFE</v>
      </c>
      <c r="B354" s="6" t="s">
        <v>15</v>
      </c>
      <c r="C354" s="6" t="s">
        <v>1261</v>
      </c>
      <c r="D354" s="6" t="s">
        <v>1686</v>
      </c>
      <c r="E354" s="6" t="s">
        <v>1308</v>
      </c>
      <c r="F354" s="6" t="s">
        <v>1304</v>
      </c>
      <c r="G354" s="6" t="s">
        <v>1708</v>
      </c>
      <c r="H354" s="6" t="s">
        <v>1725</v>
      </c>
      <c r="I354" s="6" t="s">
        <v>1299</v>
      </c>
      <c r="J354" s="6" t="s">
        <v>1364</v>
      </c>
      <c r="K354" s="6" t="s">
        <v>1314</v>
      </c>
      <c r="L354" s="6" t="s">
        <v>447</v>
      </c>
      <c r="M354" s="6" t="s">
        <v>1420</v>
      </c>
      <c r="N354" s="6" t="s">
        <v>1305</v>
      </c>
      <c r="O354" s="6" t="s">
        <v>1420</v>
      </c>
      <c r="P354" s="6" t="s">
        <v>1305</v>
      </c>
      <c r="Q354" s="6" t="str">
        <f t="shared" si="14"/>
        <v>DWX</v>
      </c>
      <c r="R354" s="25"/>
    </row>
    <row r="355" spans="1:18" s="6" customFormat="1" x14ac:dyDescent="0.2">
      <c r="A355" s="3" t="str">
        <f t="shared" si="13"/>
        <v>F18MK_SUBFG</v>
      </c>
      <c r="B355" s="6" t="s">
        <v>15</v>
      </c>
      <c r="C355" s="6" t="s">
        <v>1245</v>
      </c>
      <c r="D355" s="6" t="s">
        <v>1687</v>
      </c>
      <c r="E355" s="6" t="s">
        <v>1308</v>
      </c>
      <c r="F355" s="6" t="s">
        <v>1304</v>
      </c>
      <c r="G355" s="6" t="s">
        <v>1709</v>
      </c>
      <c r="H355" s="6" t="s">
        <v>1726</v>
      </c>
      <c r="I355" s="6" t="s">
        <v>1299</v>
      </c>
      <c r="J355" s="6" t="s">
        <v>1364</v>
      </c>
      <c r="K355" s="6" t="s">
        <v>1314</v>
      </c>
      <c r="L355" s="6" t="s">
        <v>447</v>
      </c>
      <c r="M355" s="6" t="s">
        <v>1420</v>
      </c>
      <c r="N355" s="6" t="s">
        <v>1305</v>
      </c>
      <c r="O355" s="6" t="s">
        <v>1420</v>
      </c>
      <c r="P355" s="6" t="s">
        <v>1305</v>
      </c>
      <c r="Q355" s="6" t="str">
        <f t="shared" si="14"/>
        <v>DWX</v>
      </c>
      <c r="R355" s="25"/>
    </row>
    <row r="356" spans="1:18" s="6" customFormat="1" x14ac:dyDescent="0.2">
      <c r="A356" s="3" t="str">
        <f t="shared" si="13"/>
        <v>F18MK_SUBFH</v>
      </c>
      <c r="B356" s="6" t="s">
        <v>15</v>
      </c>
      <c r="C356" s="6" t="s">
        <v>1285</v>
      </c>
      <c r="D356" s="6" t="s">
        <v>1688</v>
      </c>
      <c r="E356" s="6" t="s">
        <v>1308</v>
      </c>
      <c r="F356" s="6" t="s">
        <v>1304</v>
      </c>
      <c r="G356" s="6" t="s">
        <v>1710</v>
      </c>
      <c r="H356" s="6" t="s">
        <v>1727</v>
      </c>
      <c r="I356" s="6" t="s">
        <v>1299</v>
      </c>
      <c r="J356" s="6" t="s">
        <v>1364</v>
      </c>
      <c r="K356" s="6" t="s">
        <v>1314</v>
      </c>
      <c r="L356" s="6" t="s">
        <v>447</v>
      </c>
      <c r="M356" s="6" t="s">
        <v>1420</v>
      </c>
      <c r="N356" s="6" t="s">
        <v>1305</v>
      </c>
      <c r="O356" s="6" t="s">
        <v>1420</v>
      </c>
      <c r="P356" s="6" t="s">
        <v>1305</v>
      </c>
      <c r="Q356" s="6" t="str">
        <f t="shared" si="14"/>
        <v>DWX</v>
      </c>
      <c r="R356" s="25"/>
    </row>
    <row r="357" spans="1:18" s="6" customFormat="1" x14ac:dyDescent="0.2">
      <c r="A357" s="3" t="str">
        <f t="shared" si="13"/>
        <v>THHT</v>
      </c>
      <c r="B357" s="6" t="s">
        <v>15</v>
      </c>
      <c r="C357" s="6" t="s">
        <v>917</v>
      </c>
      <c r="D357" s="6" t="s">
        <v>918</v>
      </c>
      <c r="F357" s="6" t="s">
        <v>884</v>
      </c>
      <c r="G357" s="6" t="s">
        <v>916</v>
      </c>
      <c r="H357" s="6" t="s">
        <v>916</v>
      </c>
      <c r="L357" s="6" t="s">
        <v>887</v>
      </c>
      <c r="M357" s="6" t="s">
        <v>888</v>
      </c>
      <c r="N357" s="6" t="s">
        <v>889</v>
      </c>
      <c r="O357" s="6" t="s">
        <v>888</v>
      </c>
      <c r="P357" s="6" t="s">
        <v>889</v>
      </c>
      <c r="Q357" s="6" t="str">
        <f t="shared" si="14"/>
        <v>Talent Mgmt. Other</v>
      </c>
      <c r="R357" s="21"/>
    </row>
    <row r="358" spans="1:18" s="6" customFormat="1" x14ac:dyDescent="0.2">
      <c r="A358" s="3" t="str">
        <f t="shared" si="13"/>
        <v>F18MO_SUBFN</v>
      </c>
      <c r="B358" s="6" t="s">
        <v>15</v>
      </c>
      <c r="C358" s="6" t="s">
        <v>1259</v>
      </c>
      <c r="D358" s="6" t="s">
        <v>1689</v>
      </c>
      <c r="E358" s="6" t="s">
        <v>1310</v>
      </c>
      <c r="F358" s="6" t="s">
        <v>1304</v>
      </c>
      <c r="G358" s="6" t="s">
        <v>1711</v>
      </c>
      <c r="H358" s="6" t="s">
        <v>1728</v>
      </c>
      <c r="I358" s="6" t="s">
        <v>1301</v>
      </c>
      <c r="J358" s="6" t="s">
        <v>642</v>
      </c>
      <c r="K358" s="6" t="s">
        <v>1316</v>
      </c>
      <c r="L358" s="6" t="s">
        <v>447</v>
      </c>
      <c r="M358" s="6" t="s">
        <v>1420</v>
      </c>
      <c r="N358" s="6" t="s">
        <v>1305</v>
      </c>
      <c r="O358" s="6" t="s">
        <v>1420</v>
      </c>
      <c r="P358" s="6" t="s">
        <v>1305</v>
      </c>
      <c r="Q358" s="6" t="str">
        <f t="shared" ref="Q358:Q387" si="15">IF(J358&lt;&gt;"",J358,_xlfn.CONCAT(O358," Other"))</f>
        <v>IS</v>
      </c>
      <c r="R358" s="25"/>
    </row>
    <row r="359" spans="1:18" s="6" customFormat="1" x14ac:dyDescent="0.2">
      <c r="A359" s="3" t="str">
        <f t="shared" si="13"/>
        <v>F18MO_SUBFP</v>
      </c>
      <c r="B359" s="6" t="s">
        <v>15</v>
      </c>
      <c r="C359" s="6" t="s">
        <v>1291</v>
      </c>
      <c r="D359" s="30" t="s">
        <v>1690</v>
      </c>
      <c r="E359" s="6" t="s">
        <v>1310</v>
      </c>
      <c r="F359" s="6" t="s">
        <v>1304</v>
      </c>
      <c r="G359" s="6" t="s">
        <v>1712</v>
      </c>
      <c r="H359" s="6" t="s">
        <v>1729</v>
      </c>
      <c r="I359" s="6" t="s">
        <v>1301</v>
      </c>
      <c r="J359" s="6" t="s">
        <v>642</v>
      </c>
      <c r="K359" s="6" t="s">
        <v>1316</v>
      </c>
      <c r="L359" s="6" t="s">
        <v>447</v>
      </c>
      <c r="M359" s="6" t="s">
        <v>1420</v>
      </c>
      <c r="N359" s="6" t="s">
        <v>1305</v>
      </c>
      <c r="O359" s="6" t="s">
        <v>1420</v>
      </c>
      <c r="P359" s="6" t="s">
        <v>1305</v>
      </c>
      <c r="Q359" s="6" t="str">
        <f t="shared" si="15"/>
        <v>IS</v>
      </c>
      <c r="R359" s="25"/>
    </row>
    <row r="360" spans="1:18" s="6" customFormat="1" x14ac:dyDescent="0.2">
      <c r="A360" s="3" t="str">
        <f t="shared" si="13"/>
        <v>F18MO_SUBFQ</v>
      </c>
      <c r="B360" s="6" t="s">
        <v>15</v>
      </c>
      <c r="C360" s="6" t="s">
        <v>1249</v>
      </c>
      <c r="D360" s="6" t="s">
        <v>1691</v>
      </c>
      <c r="E360" s="6" t="s">
        <v>1310</v>
      </c>
      <c r="F360" s="6" t="s">
        <v>1304</v>
      </c>
      <c r="G360" s="6" t="s">
        <v>1713</v>
      </c>
      <c r="H360" s="6" t="s">
        <v>1730</v>
      </c>
      <c r="I360" s="6" t="s">
        <v>1301</v>
      </c>
      <c r="J360" s="6" t="s">
        <v>642</v>
      </c>
      <c r="K360" s="6" t="s">
        <v>1316</v>
      </c>
      <c r="L360" s="6" t="s">
        <v>447</v>
      </c>
      <c r="M360" s="6" t="s">
        <v>1420</v>
      </c>
      <c r="N360" s="6" t="s">
        <v>1305</v>
      </c>
      <c r="O360" s="6" t="s">
        <v>1420</v>
      </c>
      <c r="P360" s="6" t="s">
        <v>1305</v>
      </c>
      <c r="Q360" s="6" t="str">
        <f t="shared" si="15"/>
        <v>IS</v>
      </c>
      <c r="R360" s="25"/>
    </row>
    <row r="361" spans="1:18" s="6" customFormat="1" x14ac:dyDescent="0.2">
      <c r="A361" s="3" t="str">
        <f t="shared" si="13"/>
        <v>F18MN_SUBFT</v>
      </c>
      <c r="B361" s="6" t="s">
        <v>15</v>
      </c>
      <c r="C361" s="6" t="s">
        <v>1253</v>
      </c>
      <c r="D361" s="6" t="s">
        <v>1692</v>
      </c>
      <c r="E361" s="6" t="s">
        <v>1309</v>
      </c>
      <c r="F361" s="6" t="s">
        <v>1304</v>
      </c>
      <c r="G361" s="6" t="s">
        <v>1366</v>
      </c>
      <c r="H361" s="6" t="s">
        <v>1731</v>
      </c>
      <c r="I361" s="6" t="s">
        <v>1300</v>
      </c>
      <c r="J361" s="6" t="s">
        <v>1321</v>
      </c>
      <c r="K361" s="6" t="s">
        <v>1315</v>
      </c>
      <c r="L361" s="6" t="s">
        <v>447</v>
      </c>
      <c r="M361" s="6" t="s">
        <v>1420</v>
      </c>
      <c r="N361" s="6" t="s">
        <v>1305</v>
      </c>
      <c r="O361" s="6" t="s">
        <v>1420</v>
      </c>
      <c r="P361" s="6" t="s">
        <v>1305</v>
      </c>
      <c r="Q361" s="6" t="str">
        <f t="shared" si="15"/>
        <v>TechOps &amp; Infrastructure</v>
      </c>
      <c r="R361" s="25"/>
    </row>
    <row r="362" spans="1:18" s="6" customFormat="1" x14ac:dyDescent="0.2">
      <c r="A362" s="3" t="str">
        <f t="shared" si="13"/>
        <v>F18MN_SUBFU</v>
      </c>
      <c r="B362" s="6" t="s">
        <v>15</v>
      </c>
      <c r="C362" s="6" t="s">
        <v>1273</v>
      </c>
      <c r="D362" s="6" t="s">
        <v>1693</v>
      </c>
      <c r="E362" s="6" t="s">
        <v>1309</v>
      </c>
      <c r="F362" s="6" t="s">
        <v>1304</v>
      </c>
      <c r="G362" s="6" t="s">
        <v>1367</v>
      </c>
      <c r="H362" s="6" t="s">
        <v>1732</v>
      </c>
      <c r="I362" s="6" t="s">
        <v>1300</v>
      </c>
      <c r="J362" s="6" t="s">
        <v>1321</v>
      </c>
      <c r="K362" s="6" t="s">
        <v>1315</v>
      </c>
      <c r="L362" s="6" t="s">
        <v>447</v>
      </c>
      <c r="M362" s="6" t="s">
        <v>1420</v>
      </c>
      <c r="N362" s="6" t="s">
        <v>1305</v>
      </c>
      <c r="O362" s="6" t="s">
        <v>1420</v>
      </c>
      <c r="P362" s="6" t="s">
        <v>1305</v>
      </c>
      <c r="Q362" s="6" t="str">
        <f t="shared" si="15"/>
        <v>TechOps &amp; Infrastructure</v>
      </c>
      <c r="R362" s="25"/>
    </row>
    <row r="363" spans="1:18" s="6" customFormat="1" ht="25.5" x14ac:dyDescent="0.2">
      <c r="A363" s="3" t="str">
        <f t="shared" si="13"/>
        <v>F18MP_SUBIK</v>
      </c>
      <c r="B363" s="6" t="s">
        <v>15</v>
      </c>
      <c r="C363" s="6" t="s">
        <v>1637</v>
      </c>
      <c r="D363" s="31" t="s">
        <v>1639</v>
      </c>
      <c r="E363" s="31" t="s">
        <v>1641</v>
      </c>
      <c r="F363" s="31" t="s">
        <v>1304</v>
      </c>
      <c r="G363" s="6" t="s">
        <v>1643</v>
      </c>
      <c r="H363" s="31" t="s">
        <v>1645</v>
      </c>
      <c r="I363" s="31" t="s">
        <v>1297</v>
      </c>
      <c r="J363" s="31" t="s">
        <v>1647</v>
      </c>
      <c r="K363" s="31" t="s">
        <v>1649</v>
      </c>
      <c r="L363" s="31" t="s">
        <v>447</v>
      </c>
      <c r="M363" s="6" t="s">
        <v>1420</v>
      </c>
      <c r="N363" s="6" t="s">
        <v>1305</v>
      </c>
      <c r="O363" s="6" t="s">
        <v>1420</v>
      </c>
      <c r="P363" s="6" t="s">
        <v>1305</v>
      </c>
      <c r="Q363" s="6" t="str">
        <f t="shared" si="15"/>
        <v>Finance &amp; Global Ops Tech</v>
      </c>
      <c r="R363" s="24" t="s">
        <v>1650</v>
      </c>
    </row>
    <row r="364" spans="1:18" s="6" customFormat="1" x14ac:dyDescent="0.2">
      <c r="A364" s="3" t="str">
        <f t="shared" si="13"/>
        <v>F18NG_SUBG2</v>
      </c>
      <c r="B364" s="6" t="s">
        <v>15</v>
      </c>
      <c r="C364" s="6" t="s">
        <v>477</v>
      </c>
      <c r="D364" s="6" t="s">
        <v>1695</v>
      </c>
      <c r="E364" s="6" t="s">
        <v>471</v>
      </c>
      <c r="F364" s="6" t="s">
        <v>1304</v>
      </c>
      <c r="G364" s="6" t="s">
        <v>1352</v>
      </c>
      <c r="H364" s="6" t="s">
        <v>1733</v>
      </c>
      <c r="I364" s="6" t="s">
        <v>474</v>
      </c>
      <c r="J364" s="6" t="s">
        <v>475</v>
      </c>
      <c r="K364" s="6" t="s">
        <v>476</v>
      </c>
      <c r="L364" s="6" t="s">
        <v>447</v>
      </c>
      <c r="M364" s="6" t="s">
        <v>1420</v>
      </c>
      <c r="N364" s="6" t="s">
        <v>1305</v>
      </c>
      <c r="O364" s="6" t="s">
        <v>1420</v>
      </c>
      <c r="P364" s="6" t="s">
        <v>1305</v>
      </c>
      <c r="Q364" s="6" t="str">
        <f t="shared" si="15"/>
        <v>Next Gen</v>
      </c>
      <c r="R364" s="25"/>
    </row>
    <row r="365" spans="1:18" s="6" customFormat="1" x14ac:dyDescent="0.2">
      <c r="A365" s="3" t="str">
        <f t="shared" si="13"/>
        <v>F18NG_SUBG4</v>
      </c>
      <c r="B365" s="6" t="s">
        <v>15</v>
      </c>
      <c r="C365" s="6" t="s">
        <v>482</v>
      </c>
      <c r="D365" s="6" t="s">
        <v>1696</v>
      </c>
      <c r="E365" s="6" t="s">
        <v>471</v>
      </c>
      <c r="F365" s="6" t="s">
        <v>1304</v>
      </c>
      <c r="G365" s="6" t="s">
        <v>1348</v>
      </c>
      <c r="H365" s="6" t="s">
        <v>1734</v>
      </c>
      <c r="I365" s="6" t="s">
        <v>474</v>
      </c>
      <c r="J365" s="6" t="s">
        <v>475</v>
      </c>
      <c r="K365" s="6" t="s">
        <v>476</v>
      </c>
      <c r="L365" s="6" t="s">
        <v>447</v>
      </c>
      <c r="M365" s="6" t="s">
        <v>1420</v>
      </c>
      <c r="N365" s="6" t="s">
        <v>1305</v>
      </c>
      <c r="O365" s="6" t="s">
        <v>1420</v>
      </c>
      <c r="P365" s="6" t="s">
        <v>1305</v>
      </c>
      <c r="Q365" s="6" t="str">
        <f t="shared" si="15"/>
        <v>Next Gen</v>
      </c>
      <c r="R365" s="25"/>
    </row>
    <row r="366" spans="1:18" s="6" customFormat="1" x14ac:dyDescent="0.2">
      <c r="A366" s="3" t="str">
        <f t="shared" si="13"/>
        <v>F18NG_SUBG5</v>
      </c>
      <c r="B366" s="6" t="s">
        <v>15</v>
      </c>
      <c r="C366" s="6" t="s">
        <v>483</v>
      </c>
      <c r="D366" s="6" t="s">
        <v>1697</v>
      </c>
      <c r="E366" s="6" t="s">
        <v>471</v>
      </c>
      <c r="F366" s="6" t="s">
        <v>1304</v>
      </c>
      <c r="G366" s="6" t="s">
        <v>1345</v>
      </c>
      <c r="H366" s="6" t="s">
        <v>1735</v>
      </c>
      <c r="I366" s="6" t="s">
        <v>474</v>
      </c>
      <c r="J366" s="6" t="s">
        <v>475</v>
      </c>
      <c r="K366" s="6" t="s">
        <v>476</v>
      </c>
      <c r="L366" s="6" t="s">
        <v>447</v>
      </c>
      <c r="M366" s="6" t="s">
        <v>1420</v>
      </c>
      <c r="N366" s="6" t="s">
        <v>1305</v>
      </c>
      <c r="O366" s="6" t="s">
        <v>1420</v>
      </c>
      <c r="P366" s="6" t="s">
        <v>1305</v>
      </c>
      <c r="Q366" s="6" t="str">
        <f t="shared" si="15"/>
        <v>Next Gen</v>
      </c>
      <c r="R366" s="25"/>
    </row>
    <row r="367" spans="1:18" s="6" customFormat="1" x14ac:dyDescent="0.2">
      <c r="A367" s="3" t="str">
        <f t="shared" si="13"/>
        <v>F18NG_SUBG6</v>
      </c>
      <c r="B367" s="6" t="s">
        <v>15</v>
      </c>
      <c r="C367" s="6" t="s">
        <v>484</v>
      </c>
      <c r="D367" s="6" t="s">
        <v>1698</v>
      </c>
      <c r="E367" s="6" t="s">
        <v>471</v>
      </c>
      <c r="F367" s="6" t="s">
        <v>1304</v>
      </c>
      <c r="G367" s="6" t="s">
        <v>1350</v>
      </c>
      <c r="H367" s="6" t="s">
        <v>1736</v>
      </c>
      <c r="I367" s="6" t="s">
        <v>474</v>
      </c>
      <c r="J367" s="6" t="s">
        <v>475</v>
      </c>
      <c r="K367" s="6" t="s">
        <v>476</v>
      </c>
      <c r="L367" s="6" t="s">
        <v>447</v>
      </c>
      <c r="M367" s="6" t="s">
        <v>1420</v>
      </c>
      <c r="N367" s="6" t="s">
        <v>1305</v>
      </c>
      <c r="O367" s="6" t="s">
        <v>1420</v>
      </c>
      <c r="P367" s="6" t="s">
        <v>1305</v>
      </c>
      <c r="Q367" s="6" t="str">
        <f t="shared" si="15"/>
        <v>Next Gen</v>
      </c>
      <c r="R367" s="25"/>
    </row>
    <row r="368" spans="1:18" s="6" customFormat="1" x14ac:dyDescent="0.2">
      <c r="A368" s="3" t="str">
        <f t="shared" si="13"/>
        <v>F18MK_SUBGZ</v>
      </c>
      <c r="B368" s="6" t="s">
        <v>15</v>
      </c>
      <c r="C368" s="6" t="s">
        <v>1289</v>
      </c>
      <c r="D368" s="6" t="s">
        <v>1699</v>
      </c>
      <c r="E368" s="6" t="s">
        <v>1308</v>
      </c>
      <c r="F368" s="6" t="s">
        <v>1304</v>
      </c>
      <c r="G368" s="6" t="s">
        <v>1714</v>
      </c>
      <c r="H368" s="6" t="s">
        <v>1737</v>
      </c>
      <c r="I368" s="6" t="s">
        <v>1299</v>
      </c>
      <c r="J368" s="6" t="s">
        <v>1364</v>
      </c>
      <c r="K368" s="6" t="s">
        <v>1314</v>
      </c>
      <c r="L368" s="6" t="s">
        <v>447</v>
      </c>
      <c r="M368" s="6" t="s">
        <v>1420</v>
      </c>
      <c r="N368" s="6" t="s">
        <v>1305</v>
      </c>
      <c r="O368" s="6" t="s">
        <v>1420</v>
      </c>
      <c r="P368" s="6" t="s">
        <v>1305</v>
      </c>
      <c r="Q368" s="6" t="str">
        <f t="shared" si="15"/>
        <v>DWX</v>
      </c>
      <c r="R368" s="25"/>
    </row>
    <row r="369" spans="1:18" s="6" customFormat="1" x14ac:dyDescent="0.2">
      <c r="A369" s="3" t="str">
        <f t="shared" si="13"/>
        <v>F18MN_SUBHA</v>
      </c>
      <c r="B369" s="6" t="s">
        <v>15</v>
      </c>
      <c r="C369" s="6" t="s">
        <v>1247</v>
      </c>
      <c r="D369" s="6" t="s">
        <v>1700</v>
      </c>
      <c r="E369" s="6" t="s">
        <v>1309</v>
      </c>
      <c r="F369" s="6" t="s">
        <v>1304</v>
      </c>
      <c r="G369" s="6" t="s">
        <v>1715</v>
      </c>
      <c r="H369" s="6" t="s">
        <v>1738</v>
      </c>
      <c r="I369" s="6" t="s">
        <v>1300</v>
      </c>
      <c r="J369" s="6" t="s">
        <v>1321</v>
      </c>
      <c r="K369" s="6" t="s">
        <v>1315</v>
      </c>
      <c r="L369" s="6" t="s">
        <v>447</v>
      </c>
      <c r="M369" s="6" t="s">
        <v>1420</v>
      </c>
      <c r="N369" s="6" t="s">
        <v>1305</v>
      </c>
      <c r="O369" s="6" t="s">
        <v>1420</v>
      </c>
      <c r="P369" s="6" t="s">
        <v>1305</v>
      </c>
      <c r="Q369" s="6" t="str">
        <f t="shared" si="15"/>
        <v>TechOps &amp; Infrastructure</v>
      </c>
      <c r="R369" s="25"/>
    </row>
    <row r="370" spans="1:18" s="6" customFormat="1" x14ac:dyDescent="0.2">
      <c r="A370" s="3" t="str">
        <f t="shared" si="13"/>
        <v>F18MJ_SUBKM</v>
      </c>
      <c r="B370" s="6" t="s">
        <v>15</v>
      </c>
      <c r="C370" s="6" t="s">
        <v>328</v>
      </c>
      <c r="D370" s="6" t="s">
        <v>1701</v>
      </c>
      <c r="E370" s="6" t="s">
        <v>1307</v>
      </c>
      <c r="F370" s="6" t="s">
        <v>1304</v>
      </c>
      <c r="G370" s="6" t="s">
        <v>1356</v>
      </c>
      <c r="H370" s="6" t="s">
        <v>1739</v>
      </c>
      <c r="I370" s="7" t="s">
        <v>1298</v>
      </c>
      <c r="J370" s="6" t="s">
        <v>1319</v>
      </c>
      <c r="K370" s="6" t="s">
        <v>1313</v>
      </c>
      <c r="L370" s="6" t="s">
        <v>447</v>
      </c>
      <c r="M370" s="6" t="s">
        <v>1420</v>
      </c>
      <c r="N370" s="6" t="s">
        <v>1305</v>
      </c>
      <c r="O370" s="6" t="s">
        <v>1420</v>
      </c>
      <c r="P370" s="6" t="s">
        <v>1305</v>
      </c>
      <c r="Q370" s="6" t="str">
        <f t="shared" si="15"/>
        <v>BSS</v>
      </c>
      <c r="R370" s="25"/>
    </row>
    <row r="371" spans="1:18" s="6" customFormat="1" x14ac:dyDescent="0.2">
      <c r="A371" s="3" t="str">
        <f t="shared" si="13"/>
        <v>F18MN_SUBMP</v>
      </c>
      <c r="B371" s="6" t="s">
        <v>15</v>
      </c>
      <c r="C371" s="6" t="s">
        <v>452</v>
      </c>
      <c r="D371" s="6" t="s">
        <v>1702</v>
      </c>
      <c r="E371" s="6" t="s">
        <v>1309</v>
      </c>
      <c r="F371" s="6" t="s">
        <v>1304</v>
      </c>
      <c r="G371" s="6" t="s">
        <v>1716</v>
      </c>
      <c r="H371" s="6" t="s">
        <v>1740</v>
      </c>
      <c r="I371" s="6" t="s">
        <v>1300</v>
      </c>
      <c r="J371" s="6" t="s">
        <v>1321</v>
      </c>
      <c r="K371" s="6" t="s">
        <v>1315</v>
      </c>
      <c r="L371" s="6" t="s">
        <v>447</v>
      </c>
      <c r="M371" s="6" t="s">
        <v>1420</v>
      </c>
      <c r="N371" s="6" t="s">
        <v>1305</v>
      </c>
      <c r="O371" s="6" t="s">
        <v>1420</v>
      </c>
      <c r="P371" s="6" t="s">
        <v>1305</v>
      </c>
      <c r="Q371" s="6" t="str">
        <f t="shared" si="15"/>
        <v>TechOps &amp; Infrastructure</v>
      </c>
      <c r="R371" s="25"/>
    </row>
    <row r="372" spans="1:18" s="6" customFormat="1" ht="25.5" x14ac:dyDescent="0.2">
      <c r="A372" s="3" t="str">
        <f t="shared" si="13"/>
        <v>F18MP_SUBOC</v>
      </c>
      <c r="B372" s="6" t="s">
        <v>15</v>
      </c>
      <c r="C372" s="6" t="s">
        <v>459</v>
      </c>
      <c r="D372" s="30" t="s">
        <v>1749</v>
      </c>
      <c r="E372" s="20" t="s">
        <v>1641</v>
      </c>
      <c r="F372" s="6" t="s">
        <v>1304</v>
      </c>
      <c r="G372" s="6" t="s">
        <v>1762</v>
      </c>
      <c r="H372" s="6" t="s">
        <v>1763</v>
      </c>
      <c r="I372" s="6" t="s">
        <v>1297</v>
      </c>
      <c r="J372" s="31" t="s">
        <v>1647</v>
      </c>
      <c r="K372" s="31" t="s">
        <v>1649</v>
      </c>
      <c r="L372" s="6" t="s">
        <v>447</v>
      </c>
      <c r="M372" s="6" t="s">
        <v>1420</v>
      </c>
      <c r="N372" s="6" t="s">
        <v>1305</v>
      </c>
      <c r="O372" s="6" t="s">
        <v>1420</v>
      </c>
      <c r="P372" s="6" t="s">
        <v>1305</v>
      </c>
      <c r="Q372" s="6" t="str">
        <f t="shared" si="15"/>
        <v>Finance &amp; Global Ops Tech</v>
      </c>
      <c r="R372" s="21" t="s">
        <v>1628</v>
      </c>
    </row>
    <row r="373" spans="1:18" s="6" customFormat="1" ht="25.5" x14ac:dyDescent="0.2">
      <c r="A373" s="3" t="str">
        <f t="shared" si="13"/>
        <v>F18MP_SUBFV</v>
      </c>
      <c r="B373" s="6" t="s">
        <v>23</v>
      </c>
      <c r="C373" s="6" t="s">
        <v>1241</v>
      </c>
      <c r="D373" s="6" t="s">
        <v>1242</v>
      </c>
      <c r="E373" s="20" t="s">
        <v>1641</v>
      </c>
      <c r="F373" s="6" t="s">
        <v>1304</v>
      </c>
      <c r="G373" s="6" t="s">
        <v>1363</v>
      </c>
      <c r="H373" s="6" t="s">
        <v>1362</v>
      </c>
      <c r="I373" s="6" t="s">
        <v>1297</v>
      </c>
      <c r="J373" s="31" t="s">
        <v>1647</v>
      </c>
      <c r="K373" s="31" t="s">
        <v>1649</v>
      </c>
      <c r="L373" s="6" t="s">
        <v>447</v>
      </c>
      <c r="M373" s="6" t="s">
        <v>1420</v>
      </c>
      <c r="N373" s="6" t="s">
        <v>1305</v>
      </c>
      <c r="O373" s="6" t="s">
        <v>1420</v>
      </c>
      <c r="P373" s="6" t="s">
        <v>1305</v>
      </c>
      <c r="Q373" s="6" t="str">
        <f t="shared" si="15"/>
        <v>Finance &amp; Global Ops Tech</v>
      </c>
      <c r="R373" s="25" t="s">
        <v>1617</v>
      </c>
    </row>
    <row r="374" spans="1:18" s="6" customFormat="1" ht="25.5" x14ac:dyDescent="0.2">
      <c r="A374" s="3" t="str">
        <f t="shared" si="13"/>
        <v>F18MP_SUBFY</v>
      </c>
      <c r="B374" s="6" t="s">
        <v>15</v>
      </c>
      <c r="C374" s="6" t="s">
        <v>1265</v>
      </c>
      <c r="D374" s="6" t="s">
        <v>1266</v>
      </c>
      <c r="E374" s="20" t="s">
        <v>1641</v>
      </c>
      <c r="F374" s="6" t="s">
        <v>1304</v>
      </c>
      <c r="G374" s="6" t="s">
        <v>1355</v>
      </c>
      <c r="H374" s="6" t="s">
        <v>1354</v>
      </c>
      <c r="I374" s="6" t="s">
        <v>1297</v>
      </c>
      <c r="J374" s="31" t="s">
        <v>1647</v>
      </c>
      <c r="K374" s="31" t="s">
        <v>1649</v>
      </c>
      <c r="L374" s="6" t="s">
        <v>447</v>
      </c>
      <c r="M374" s="6" t="s">
        <v>1420</v>
      </c>
      <c r="N374" s="6" t="s">
        <v>1305</v>
      </c>
      <c r="O374" s="6" t="s">
        <v>1420</v>
      </c>
      <c r="P374" s="6" t="s">
        <v>1305</v>
      </c>
      <c r="Q374" s="6" t="str">
        <f t="shared" si="15"/>
        <v>Finance &amp; Global Ops Tech</v>
      </c>
      <c r="R374" s="21" t="s">
        <v>1624</v>
      </c>
    </row>
    <row r="375" spans="1:18" s="6" customFormat="1" ht="25.5" x14ac:dyDescent="0.2">
      <c r="A375" s="3" t="str">
        <f t="shared" si="13"/>
        <v>F18MP_SUBG7</v>
      </c>
      <c r="B375" s="6" t="s">
        <v>23</v>
      </c>
      <c r="C375" s="6" t="s">
        <v>485</v>
      </c>
      <c r="D375" s="6" t="s">
        <v>1266</v>
      </c>
      <c r="E375" s="20" t="s">
        <v>1641</v>
      </c>
      <c r="F375" s="6" t="s">
        <v>1304</v>
      </c>
      <c r="G375" s="6" t="s">
        <v>1355</v>
      </c>
      <c r="H375" s="6" t="s">
        <v>1354</v>
      </c>
      <c r="I375" s="6" t="s">
        <v>1297</v>
      </c>
      <c r="J375" s="31" t="s">
        <v>1647</v>
      </c>
      <c r="K375" s="31" t="s">
        <v>1649</v>
      </c>
      <c r="L375" s="6" t="s">
        <v>447</v>
      </c>
      <c r="M375" s="6" t="s">
        <v>1420</v>
      </c>
      <c r="N375" s="6" t="s">
        <v>1305</v>
      </c>
      <c r="O375" s="6" t="s">
        <v>1420</v>
      </c>
      <c r="P375" s="6" t="s">
        <v>1305</v>
      </c>
      <c r="Q375" s="6" t="str">
        <f t="shared" si="15"/>
        <v>Finance &amp; Global Ops Tech</v>
      </c>
      <c r="R375" s="21" t="s">
        <v>1540</v>
      </c>
    </row>
    <row r="376" spans="1:18" s="6" customFormat="1" x14ac:dyDescent="0.2">
      <c r="A376" s="3" t="str">
        <f t="shared" si="13"/>
        <v>F18MJ_SUBMT</v>
      </c>
      <c r="B376" s="6" t="s">
        <v>15</v>
      </c>
      <c r="C376" s="6" t="s">
        <v>458</v>
      </c>
      <c r="D376" s="6" t="s">
        <v>1704</v>
      </c>
      <c r="E376" s="6" t="s">
        <v>1307</v>
      </c>
      <c r="F376" s="6" t="s">
        <v>1304</v>
      </c>
      <c r="G376" s="6" t="s">
        <v>1346</v>
      </c>
      <c r="H376" s="6" t="s">
        <v>1742</v>
      </c>
      <c r="I376" s="6" t="s">
        <v>1298</v>
      </c>
      <c r="J376" s="6" t="s">
        <v>1319</v>
      </c>
      <c r="K376" s="6" t="s">
        <v>1313</v>
      </c>
      <c r="L376" s="6" t="s">
        <v>447</v>
      </c>
      <c r="M376" s="6" t="s">
        <v>1420</v>
      </c>
      <c r="N376" s="6" t="s">
        <v>1305</v>
      </c>
      <c r="O376" s="6" t="s">
        <v>1420</v>
      </c>
      <c r="P376" s="6" t="s">
        <v>1305</v>
      </c>
      <c r="Q376" s="6" t="str">
        <f t="shared" si="15"/>
        <v>BSS</v>
      </c>
      <c r="R376" s="25"/>
    </row>
    <row r="377" spans="1:18" s="6" customFormat="1" ht="25.5" x14ac:dyDescent="0.2">
      <c r="A377" s="3" t="str">
        <f t="shared" si="13"/>
        <v>F18MP_SUBTE</v>
      </c>
      <c r="B377" s="6" t="s">
        <v>23</v>
      </c>
      <c r="C377" s="6" t="s">
        <v>464</v>
      </c>
      <c r="D377" s="30" t="s">
        <v>1749</v>
      </c>
      <c r="E377" s="20" t="s">
        <v>1641</v>
      </c>
      <c r="F377" s="6" t="s">
        <v>1304</v>
      </c>
      <c r="G377" s="6" t="s">
        <v>1762</v>
      </c>
      <c r="H377" s="6" t="s">
        <v>1763</v>
      </c>
      <c r="I377" s="6" t="s">
        <v>1297</v>
      </c>
      <c r="J377" s="31" t="s">
        <v>1647</v>
      </c>
      <c r="K377" s="31" t="s">
        <v>1649</v>
      </c>
      <c r="L377" s="6" t="s">
        <v>447</v>
      </c>
      <c r="M377" s="6" t="s">
        <v>1420</v>
      </c>
      <c r="N377" s="6" t="s">
        <v>1305</v>
      </c>
      <c r="O377" s="6" t="s">
        <v>1420</v>
      </c>
      <c r="P377" s="6" t="s">
        <v>1305</v>
      </c>
      <c r="Q377" s="6" t="str">
        <f t="shared" si="15"/>
        <v>Finance &amp; Global Ops Tech</v>
      </c>
      <c r="R377" s="21" t="s">
        <v>1541</v>
      </c>
    </row>
    <row r="378" spans="1:18" s="6" customFormat="1" x14ac:dyDescent="0.2">
      <c r="A378" s="3" t="str">
        <f t="shared" si="13"/>
        <v>VECET_SUBYZ</v>
      </c>
      <c r="B378" s="9" t="s">
        <v>15</v>
      </c>
      <c r="C378" s="10" t="s">
        <v>1048</v>
      </c>
      <c r="D378" s="10" t="s">
        <v>1049</v>
      </c>
      <c r="E378" s="10" t="s">
        <v>1044</v>
      </c>
      <c r="F378" s="10" t="s">
        <v>1028</v>
      </c>
      <c r="G378" s="9" t="s">
        <v>1050</v>
      </c>
      <c r="H378" s="9" t="s">
        <v>1050</v>
      </c>
      <c r="I378" s="10" t="s">
        <v>1046</v>
      </c>
      <c r="J378" s="10" t="s">
        <v>1047</v>
      </c>
      <c r="K378" s="10" t="s">
        <v>1047</v>
      </c>
      <c r="L378" s="10" t="s">
        <v>1029</v>
      </c>
      <c r="M378" s="9" t="s">
        <v>1030</v>
      </c>
      <c r="N378" s="9" t="s">
        <v>1030</v>
      </c>
      <c r="O378" s="9" t="s">
        <v>1030</v>
      </c>
      <c r="P378" s="9" t="s">
        <v>1030</v>
      </c>
      <c r="Q378" s="6" t="str">
        <f t="shared" si="15"/>
        <v>Enterprise Tech</v>
      </c>
      <c r="R378" s="25"/>
    </row>
    <row r="379" spans="1:18" s="6" customFormat="1" x14ac:dyDescent="0.2">
      <c r="A379" s="3" t="str">
        <f t="shared" si="13"/>
        <v>F18MI_SUBTP</v>
      </c>
      <c r="B379" s="6" t="s">
        <v>23</v>
      </c>
      <c r="C379" s="6" t="s">
        <v>465</v>
      </c>
      <c r="D379" s="6" t="s">
        <v>466</v>
      </c>
      <c r="E379" s="6" t="s">
        <v>442</v>
      </c>
      <c r="F379" s="6" t="s">
        <v>1304</v>
      </c>
      <c r="G379" s="6" t="s">
        <v>467</v>
      </c>
      <c r="H379" s="6" t="s">
        <v>468</v>
      </c>
      <c r="I379" s="6" t="s">
        <v>445</v>
      </c>
      <c r="J379" s="6" t="s">
        <v>446</v>
      </c>
      <c r="K379" s="6" t="s">
        <v>446</v>
      </c>
      <c r="L379" s="6" t="s">
        <v>447</v>
      </c>
      <c r="M379" s="6" t="s">
        <v>1420</v>
      </c>
      <c r="N379" s="6" t="s">
        <v>1305</v>
      </c>
      <c r="O379" s="6" t="s">
        <v>1420</v>
      </c>
      <c r="P379" s="6" t="s">
        <v>1305</v>
      </c>
      <c r="Q379" s="6" t="str">
        <f t="shared" si="15"/>
        <v>TSG</v>
      </c>
      <c r="R379" s="25"/>
    </row>
    <row r="380" spans="1:18" s="6" customFormat="1" x14ac:dyDescent="0.2">
      <c r="A380" s="3" t="str">
        <f t="shared" si="13"/>
        <v>VFTI_SUBTD</v>
      </c>
      <c r="B380" s="6" t="s">
        <v>15</v>
      </c>
      <c r="C380" s="6" t="s">
        <v>1152</v>
      </c>
      <c r="D380" s="6" t="s">
        <v>1153</v>
      </c>
      <c r="E380" s="6" t="s">
        <v>1147</v>
      </c>
      <c r="F380" s="6" t="s">
        <v>1073</v>
      </c>
      <c r="G380" s="6" t="s">
        <v>1148</v>
      </c>
      <c r="H380" s="6" t="s">
        <v>1151</v>
      </c>
      <c r="I380" s="6" t="s">
        <v>1150</v>
      </c>
      <c r="J380" s="6" t="s">
        <v>1151</v>
      </c>
      <c r="K380" s="6" t="s">
        <v>1151</v>
      </c>
      <c r="L380" s="6" t="s">
        <v>1076</v>
      </c>
      <c r="M380" s="6" t="s">
        <v>1077</v>
      </c>
      <c r="N380" s="6" t="s">
        <v>1078</v>
      </c>
      <c r="O380" s="6" t="s">
        <v>1077</v>
      </c>
      <c r="P380" s="6" t="s">
        <v>1078</v>
      </c>
      <c r="Q380" s="6" t="str">
        <f t="shared" si="15"/>
        <v>Technology Insights Group</v>
      </c>
      <c r="R380" s="25"/>
    </row>
    <row r="381" spans="1:18" s="6" customFormat="1" x14ac:dyDescent="0.2">
      <c r="A381" s="3" t="str">
        <f t="shared" si="13"/>
        <v>VFTI_SUBOH</v>
      </c>
      <c r="B381" s="6" t="s">
        <v>15</v>
      </c>
      <c r="C381" s="6" t="s">
        <v>1145</v>
      </c>
      <c r="D381" s="6" t="s">
        <v>1146</v>
      </c>
      <c r="E381" s="6" t="s">
        <v>1147</v>
      </c>
      <c r="F381" s="6" t="s">
        <v>1073</v>
      </c>
      <c r="G381" s="6" t="s">
        <v>1353</v>
      </c>
      <c r="H381" s="6" t="s">
        <v>1149</v>
      </c>
      <c r="I381" s="6" t="s">
        <v>1150</v>
      </c>
      <c r="J381" s="6" t="s">
        <v>1151</v>
      </c>
      <c r="K381" s="6" t="s">
        <v>1151</v>
      </c>
      <c r="L381" s="6" t="s">
        <v>1076</v>
      </c>
      <c r="M381" s="6" t="s">
        <v>1077</v>
      </c>
      <c r="N381" s="6" t="s">
        <v>1078</v>
      </c>
      <c r="O381" s="6" t="s">
        <v>1077</v>
      </c>
      <c r="P381" s="6" t="s">
        <v>1078</v>
      </c>
      <c r="Q381" s="6" t="str">
        <f t="shared" si="15"/>
        <v>Technology Insights Group</v>
      </c>
      <c r="R381" s="25"/>
    </row>
    <row r="382" spans="1:18" s="6" customFormat="1" ht="25.5" x14ac:dyDescent="0.2">
      <c r="A382" s="3" t="str">
        <f t="shared" si="13"/>
        <v>F2EC_SUBN3</v>
      </c>
      <c r="B382" s="6" t="s">
        <v>15</v>
      </c>
      <c r="C382" s="6" t="s">
        <v>556</v>
      </c>
      <c r="D382" s="31" t="s">
        <v>1666</v>
      </c>
      <c r="E382" s="6" t="s">
        <v>504</v>
      </c>
      <c r="F382" s="6" t="s">
        <v>505</v>
      </c>
      <c r="G382" s="6" t="s">
        <v>1663</v>
      </c>
      <c r="H382" s="6" t="s">
        <v>558</v>
      </c>
      <c r="I382" s="6" t="s">
        <v>507</v>
      </c>
      <c r="J382" s="6" t="s">
        <v>508</v>
      </c>
      <c r="K382" s="6" t="s">
        <v>509</v>
      </c>
      <c r="L382" s="6" t="s">
        <v>492</v>
      </c>
      <c r="M382" s="6" t="s">
        <v>493</v>
      </c>
      <c r="N382" s="6" t="s">
        <v>493</v>
      </c>
      <c r="O382" s="6" t="s">
        <v>510</v>
      </c>
      <c r="P382" s="6" t="s">
        <v>511</v>
      </c>
      <c r="Q382" s="6" t="str">
        <f t="shared" si="15"/>
        <v>Expert Cons.</v>
      </c>
      <c r="R382" s="21" t="s">
        <v>1667</v>
      </c>
    </row>
    <row r="383" spans="1:18" s="6" customFormat="1" ht="25.5" x14ac:dyDescent="0.2">
      <c r="A383" s="3" t="str">
        <f t="shared" si="13"/>
        <v>F15SP_SUBD1</v>
      </c>
      <c r="B383" s="6" t="s">
        <v>15</v>
      </c>
      <c r="C383" s="6" t="s">
        <v>341</v>
      </c>
      <c r="D383" s="30" t="s">
        <v>1746</v>
      </c>
      <c r="E383" s="6" t="s">
        <v>337</v>
      </c>
      <c r="F383" s="6" t="s">
        <v>314</v>
      </c>
      <c r="G383" s="6" t="s">
        <v>343</v>
      </c>
      <c r="H383" s="30" t="s">
        <v>1764</v>
      </c>
      <c r="I383" s="6" t="s">
        <v>338</v>
      </c>
      <c r="J383" s="6" t="s">
        <v>339</v>
      </c>
      <c r="K383" s="6" t="s">
        <v>339</v>
      </c>
      <c r="L383" s="6" t="s">
        <v>317</v>
      </c>
      <c r="M383" s="6" t="s">
        <v>318</v>
      </c>
      <c r="N383" s="6" t="s">
        <v>319</v>
      </c>
      <c r="O383" s="6" t="s">
        <v>318</v>
      </c>
      <c r="P383" s="6" t="s">
        <v>319</v>
      </c>
      <c r="Q383" s="6" t="str">
        <f t="shared" si="15"/>
        <v>Practice Teams</v>
      </c>
      <c r="R383" s="21" t="s">
        <v>1571</v>
      </c>
    </row>
    <row r="384" spans="1:18" s="6" customFormat="1" ht="25.5" x14ac:dyDescent="0.2">
      <c r="A384" s="3" t="str">
        <f t="shared" si="13"/>
        <v>F15SP_SUBE5</v>
      </c>
      <c r="B384" s="6" t="s">
        <v>23</v>
      </c>
      <c r="C384" s="6" t="s">
        <v>383</v>
      </c>
      <c r="D384" s="30" t="s">
        <v>1746</v>
      </c>
      <c r="E384" s="6" t="s">
        <v>337</v>
      </c>
      <c r="F384" s="6" t="s">
        <v>314</v>
      </c>
      <c r="G384" s="6" t="s">
        <v>343</v>
      </c>
      <c r="H384" s="30" t="s">
        <v>1764</v>
      </c>
      <c r="I384" s="6" t="s">
        <v>338</v>
      </c>
      <c r="J384" s="6" t="s">
        <v>339</v>
      </c>
      <c r="K384" s="6" t="s">
        <v>339</v>
      </c>
      <c r="L384" s="6" t="s">
        <v>317</v>
      </c>
      <c r="M384" s="6" t="s">
        <v>318</v>
      </c>
      <c r="N384" s="6" t="s">
        <v>319</v>
      </c>
      <c r="O384" s="6" t="s">
        <v>318</v>
      </c>
      <c r="P384" s="6" t="s">
        <v>319</v>
      </c>
      <c r="Q384" s="6" t="str">
        <f t="shared" si="15"/>
        <v>Practice Teams</v>
      </c>
      <c r="R384" s="21" t="s">
        <v>1501</v>
      </c>
    </row>
    <row r="385" spans="1:18" s="6" customFormat="1" ht="25.5" x14ac:dyDescent="0.2">
      <c r="A385" s="3" t="str">
        <f t="shared" si="13"/>
        <v>F15SP_SUBE6</v>
      </c>
      <c r="B385" s="6" t="s">
        <v>23</v>
      </c>
      <c r="C385" s="6" t="s">
        <v>384</v>
      </c>
      <c r="D385" s="30" t="s">
        <v>1746</v>
      </c>
      <c r="E385" s="6" t="s">
        <v>337</v>
      </c>
      <c r="F385" s="6" t="s">
        <v>314</v>
      </c>
      <c r="G385" s="6" t="s">
        <v>343</v>
      </c>
      <c r="H385" s="30" t="s">
        <v>1764</v>
      </c>
      <c r="I385" s="6" t="s">
        <v>338</v>
      </c>
      <c r="J385" s="6" t="s">
        <v>339</v>
      </c>
      <c r="K385" s="6" t="s">
        <v>339</v>
      </c>
      <c r="L385" s="6" t="s">
        <v>317</v>
      </c>
      <c r="M385" s="6" t="s">
        <v>318</v>
      </c>
      <c r="N385" s="6" t="s">
        <v>319</v>
      </c>
      <c r="O385" s="6" t="s">
        <v>318</v>
      </c>
      <c r="P385" s="6" t="s">
        <v>319</v>
      </c>
      <c r="Q385" s="6" t="str">
        <f t="shared" si="15"/>
        <v>Practice Teams</v>
      </c>
      <c r="R385" s="21" t="s">
        <v>1501</v>
      </c>
    </row>
    <row r="386" spans="1:18" s="6" customFormat="1" x14ac:dyDescent="0.2">
      <c r="A386" s="3" t="str">
        <f t="shared" ref="A386:A404" si="16">_xlfn.CONCAT(L386,I386,C386)</f>
        <v>F15PP_SUBWV</v>
      </c>
      <c r="B386" s="6" t="s">
        <v>15</v>
      </c>
      <c r="C386" s="6" t="s">
        <v>329</v>
      </c>
      <c r="D386" s="6" t="s">
        <v>330</v>
      </c>
      <c r="E386" s="6" t="s">
        <v>324</v>
      </c>
      <c r="F386" s="6" t="s">
        <v>314</v>
      </c>
      <c r="G386" s="6" t="s">
        <v>331</v>
      </c>
      <c r="H386" s="6" t="s">
        <v>332</v>
      </c>
      <c r="I386" s="6" t="s">
        <v>325</v>
      </c>
      <c r="J386" s="6" t="s">
        <v>326</v>
      </c>
      <c r="K386" s="6" t="s">
        <v>326</v>
      </c>
      <c r="L386" s="6" t="s">
        <v>317</v>
      </c>
      <c r="M386" s="6" t="s">
        <v>318</v>
      </c>
      <c r="N386" s="6" t="s">
        <v>319</v>
      </c>
      <c r="O386" s="6" t="s">
        <v>318</v>
      </c>
      <c r="P386" s="6" t="s">
        <v>319</v>
      </c>
      <c r="Q386" s="6" t="str">
        <f t="shared" si="15"/>
        <v>PPK Program Office</v>
      </c>
      <c r="R386" s="21"/>
    </row>
    <row r="387" spans="1:18" s="6" customFormat="1" x14ac:dyDescent="0.2">
      <c r="A387" s="3" t="str">
        <f t="shared" si="16"/>
        <v>F18ML_SUBIL</v>
      </c>
      <c r="B387" s="6" t="s">
        <v>15</v>
      </c>
      <c r="C387" s="6" t="s">
        <v>1638</v>
      </c>
      <c r="D387" s="31" t="s">
        <v>1640</v>
      </c>
      <c r="E387" s="31" t="s">
        <v>1642</v>
      </c>
      <c r="F387" s="31" t="s">
        <v>1304</v>
      </c>
      <c r="G387" s="6" t="s">
        <v>1644</v>
      </c>
      <c r="H387" s="31" t="s">
        <v>1646</v>
      </c>
      <c r="I387" s="31" t="s">
        <v>1302</v>
      </c>
      <c r="J387" s="31" t="s">
        <v>1648</v>
      </c>
      <c r="K387" s="31" t="s">
        <v>1648</v>
      </c>
      <c r="L387" s="31" t="s">
        <v>447</v>
      </c>
      <c r="M387" s="6" t="s">
        <v>1420</v>
      </c>
      <c r="N387" s="6" t="s">
        <v>1305</v>
      </c>
      <c r="O387" s="6" t="s">
        <v>1420</v>
      </c>
      <c r="P387" s="6" t="s">
        <v>1305</v>
      </c>
      <c r="Q387" s="6" t="str">
        <f t="shared" si="15"/>
        <v>Strategy &amp; Innovation</v>
      </c>
      <c r="R387" s="24" t="s">
        <v>1650</v>
      </c>
    </row>
    <row r="388" spans="1:18" s="6" customFormat="1" x14ac:dyDescent="0.2">
      <c r="A388" s="3" t="str">
        <f t="shared" si="16"/>
        <v>F18MN_SUBIH</v>
      </c>
      <c r="B388" s="6" t="s">
        <v>15</v>
      </c>
      <c r="C388" s="20" t="s">
        <v>1600</v>
      </c>
      <c r="D388" s="20" t="s">
        <v>1601</v>
      </c>
      <c r="E388" s="20" t="s">
        <v>1309</v>
      </c>
      <c r="F388" s="20" t="s">
        <v>1304</v>
      </c>
      <c r="G388" s="6" t="s">
        <v>1602</v>
      </c>
      <c r="H388" s="6" t="s">
        <v>1603</v>
      </c>
      <c r="I388" s="20" t="s">
        <v>1300</v>
      </c>
      <c r="J388" s="6" t="s">
        <v>1321</v>
      </c>
      <c r="K388" s="6" t="s">
        <v>1315</v>
      </c>
      <c r="L388" s="6" t="s">
        <v>447</v>
      </c>
      <c r="M388" s="6" t="s">
        <v>1420</v>
      </c>
      <c r="N388" s="6" t="s">
        <v>1305</v>
      </c>
      <c r="O388" s="6" t="s">
        <v>1420</v>
      </c>
      <c r="P388" s="6" t="s">
        <v>1305</v>
      </c>
      <c r="Q388" s="6" t="str">
        <f t="shared" ref="Q388:Q389" si="17">IF(J388&lt;&gt;"",J388,_xlfn.CONCAT(O388," Other"))</f>
        <v>TechOps &amp; Infrastructure</v>
      </c>
      <c r="R388" s="24"/>
    </row>
    <row r="389" spans="1:18" s="6" customFormat="1" x14ac:dyDescent="0.2">
      <c r="A389" s="3" t="str">
        <f t="shared" si="16"/>
        <v>F18MQ_SUBMS</v>
      </c>
      <c r="B389" s="6" t="s">
        <v>15</v>
      </c>
      <c r="C389" s="6" t="s">
        <v>457</v>
      </c>
      <c r="D389" s="6" t="s">
        <v>1703</v>
      </c>
      <c r="E389" s="20" t="s">
        <v>1765</v>
      </c>
      <c r="F389" s="6" t="s">
        <v>1304</v>
      </c>
      <c r="G389" s="6" t="s">
        <v>1717</v>
      </c>
      <c r="H389" s="6" t="s">
        <v>1741</v>
      </c>
      <c r="I389" s="6" t="s">
        <v>1325</v>
      </c>
      <c r="J389" s="6" t="s">
        <v>1741</v>
      </c>
      <c r="K389" s="6" t="s">
        <v>1741</v>
      </c>
      <c r="L389" s="6" t="s">
        <v>447</v>
      </c>
      <c r="M389" s="6" t="s">
        <v>1420</v>
      </c>
      <c r="N389" s="6" t="s">
        <v>1305</v>
      </c>
      <c r="O389" s="6" t="s">
        <v>1420</v>
      </c>
      <c r="P389" s="6" t="s">
        <v>1305</v>
      </c>
      <c r="Q389" s="6" t="str">
        <f t="shared" si="17"/>
        <v>TSG - Leadership</v>
      </c>
      <c r="R389" s="25"/>
    </row>
    <row r="390" spans="1:18" s="6" customFormat="1" x14ac:dyDescent="0.2">
      <c r="A390" s="3" t="str">
        <f t="shared" si="16"/>
        <v>F18MJ_SUBBU</v>
      </c>
      <c r="B390" s="6" t="s">
        <v>23</v>
      </c>
      <c r="C390" s="6" t="s">
        <v>440</v>
      </c>
      <c r="D390" s="6" t="s">
        <v>441</v>
      </c>
      <c r="E390" s="6" t="s">
        <v>1307</v>
      </c>
      <c r="F390" s="6" t="s">
        <v>1304</v>
      </c>
      <c r="G390" s="6" t="s">
        <v>443</v>
      </c>
      <c r="H390" s="6" t="s">
        <v>444</v>
      </c>
      <c r="I390" s="6" t="s">
        <v>1298</v>
      </c>
      <c r="J390" s="6" t="s">
        <v>1319</v>
      </c>
      <c r="K390" s="6" t="s">
        <v>1313</v>
      </c>
      <c r="L390" s="6" t="s">
        <v>447</v>
      </c>
      <c r="M390" s="6" t="s">
        <v>1420</v>
      </c>
      <c r="N390" s="6" t="s">
        <v>1305</v>
      </c>
      <c r="O390" s="6" t="s">
        <v>1420</v>
      </c>
      <c r="P390" s="6" t="s">
        <v>1305</v>
      </c>
      <c r="Q390" s="6" t="str">
        <f t="shared" ref="Q390:Q413" si="18">IF(J390&lt;&gt;"",J390,_xlfn.CONCAT(O390," Other"))</f>
        <v>BSS</v>
      </c>
      <c r="R390" s="21"/>
    </row>
    <row r="391" spans="1:18" x14ac:dyDescent="0.2">
      <c r="A391" s="3" t="str">
        <f t="shared" si="16"/>
        <v>F18MK_SUBMQ</v>
      </c>
      <c r="B391" s="6" t="s">
        <v>23</v>
      </c>
      <c r="C391" s="6" t="s">
        <v>453</v>
      </c>
      <c r="D391" s="6" t="s">
        <v>454</v>
      </c>
      <c r="E391" s="6" t="s">
        <v>1308</v>
      </c>
      <c r="F391" s="6" t="s">
        <v>1304</v>
      </c>
      <c r="G391" s="6" t="s">
        <v>455</v>
      </c>
      <c r="H391" s="6" t="s">
        <v>456</v>
      </c>
      <c r="I391" s="6" t="s">
        <v>1299</v>
      </c>
      <c r="J391" s="6" t="s">
        <v>1364</v>
      </c>
      <c r="K391" s="6" t="s">
        <v>1314</v>
      </c>
      <c r="L391" s="6" t="s">
        <v>447</v>
      </c>
      <c r="M391" s="6" t="s">
        <v>1420</v>
      </c>
      <c r="N391" s="6" t="s">
        <v>1305</v>
      </c>
      <c r="O391" s="6" t="s">
        <v>1420</v>
      </c>
      <c r="P391" s="6" t="s">
        <v>1305</v>
      </c>
      <c r="Q391" s="6" t="str">
        <f t="shared" si="18"/>
        <v>DWX</v>
      </c>
      <c r="R391" s="21"/>
    </row>
    <row r="392" spans="1:18" x14ac:dyDescent="0.2">
      <c r="A392" s="3" t="str">
        <f t="shared" si="16"/>
        <v>F18MO_SUBTC</v>
      </c>
      <c r="B392" s="6" t="s">
        <v>23</v>
      </c>
      <c r="C392" s="6" t="s">
        <v>460</v>
      </c>
      <c r="D392" s="6" t="s">
        <v>461</v>
      </c>
      <c r="E392" s="6" t="s">
        <v>1310</v>
      </c>
      <c r="F392" s="6" t="s">
        <v>1304</v>
      </c>
      <c r="G392" s="6" t="s">
        <v>462</v>
      </c>
      <c r="H392" s="6" t="s">
        <v>463</v>
      </c>
      <c r="I392" s="6" t="s">
        <v>1301</v>
      </c>
      <c r="J392" s="6" t="s">
        <v>642</v>
      </c>
      <c r="K392" s="6" t="s">
        <v>1316</v>
      </c>
      <c r="L392" s="6" t="s">
        <v>447</v>
      </c>
      <c r="M392" s="6" t="s">
        <v>1420</v>
      </c>
      <c r="N392" s="6" t="s">
        <v>1305</v>
      </c>
      <c r="O392" s="6" t="s">
        <v>1420</v>
      </c>
      <c r="P392" s="6" t="s">
        <v>1305</v>
      </c>
      <c r="Q392" s="6" t="str">
        <f t="shared" si="18"/>
        <v>IS</v>
      </c>
      <c r="R392" s="21"/>
    </row>
    <row r="393" spans="1:18" x14ac:dyDescent="0.2">
      <c r="A393" s="3" t="str">
        <f t="shared" si="16"/>
        <v>F18MN_SUBMF</v>
      </c>
      <c r="B393" s="6" t="s">
        <v>23</v>
      </c>
      <c r="C393" s="6" t="s">
        <v>449</v>
      </c>
      <c r="D393" s="6" t="s">
        <v>450</v>
      </c>
      <c r="E393" s="6" t="s">
        <v>1309</v>
      </c>
      <c r="F393" s="6" t="s">
        <v>1304</v>
      </c>
      <c r="G393" s="6" t="s">
        <v>451</v>
      </c>
      <c r="H393" s="6" t="s">
        <v>451</v>
      </c>
      <c r="I393" s="6" t="s">
        <v>1300</v>
      </c>
      <c r="J393" s="6" t="s">
        <v>1321</v>
      </c>
      <c r="K393" s="6" t="s">
        <v>1315</v>
      </c>
      <c r="L393" s="6" t="s">
        <v>447</v>
      </c>
      <c r="M393" s="6" t="s">
        <v>1420</v>
      </c>
      <c r="N393" s="6" t="s">
        <v>1305</v>
      </c>
      <c r="O393" s="6" t="s">
        <v>1420</v>
      </c>
      <c r="P393" s="6" t="s">
        <v>1305</v>
      </c>
      <c r="Q393" s="6" t="str">
        <f t="shared" si="18"/>
        <v>TechOps &amp; Infrastructure</v>
      </c>
      <c r="R393" s="21"/>
    </row>
    <row r="394" spans="1:18" x14ac:dyDescent="0.2">
      <c r="A394" s="3" t="str">
        <f t="shared" si="16"/>
        <v>FUN_UNKXX_UNK</v>
      </c>
      <c r="B394" s="6" t="s">
        <v>23</v>
      </c>
      <c r="C394" s="6" t="s">
        <v>747</v>
      </c>
      <c r="D394" s="6" t="s">
        <v>748</v>
      </c>
      <c r="E394" s="6"/>
      <c r="F394" s="6" t="s">
        <v>749</v>
      </c>
      <c r="G394" s="6" t="s">
        <v>750</v>
      </c>
      <c r="H394" s="6" t="s">
        <v>750</v>
      </c>
      <c r="I394" s="6" t="s">
        <v>18</v>
      </c>
      <c r="J394" s="6" t="s">
        <v>18</v>
      </c>
      <c r="K394" s="6" t="s">
        <v>18</v>
      </c>
      <c r="L394" s="6" t="s">
        <v>751</v>
      </c>
      <c r="M394" s="6" t="s">
        <v>752</v>
      </c>
      <c r="N394" s="6" t="s">
        <v>750</v>
      </c>
      <c r="O394" s="6" t="s">
        <v>752</v>
      </c>
      <c r="P394" s="6" t="s">
        <v>753</v>
      </c>
      <c r="Q394" s="6" t="str">
        <f t="shared" si="18"/>
        <v>Misc. Other</v>
      </c>
      <c r="R394" s="21"/>
    </row>
    <row r="395" spans="1:18" x14ac:dyDescent="0.2">
      <c r="A395" s="3" t="str">
        <f t="shared" si="16"/>
        <v>VECVC</v>
      </c>
      <c r="B395" s="6" t="s">
        <v>15</v>
      </c>
      <c r="C395" s="6" t="s">
        <v>1176</v>
      </c>
      <c r="D395" s="6" t="s">
        <v>1177</v>
      </c>
      <c r="E395" s="6"/>
      <c r="F395" s="6" t="s">
        <v>1028</v>
      </c>
      <c r="G395" s="6" t="s">
        <v>1178</v>
      </c>
      <c r="H395" s="6" t="s">
        <v>1179</v>
      </c>
      <c r="I395" s="6" t="s">
        <v>18</v>
      </c>
      <c r="J395" s="6" t="s">
        <v>18</v>
      </c>
      <c r="K395" s="6" t="s">
        <v>18</v>
      </c>
      <c r="L395" s="6" t="s">
        <v>1029</v>
      </c>
      <c r="M395" s="6" t="s">
        <v>1030</v>
      </c>
      <c r="N395" s="6" t="s">
        <v>1030</v>
      </c>
      <c r="O395" s="6" t="s">
        <v>1030</v>
      </c>
      <c r="P395" s="6" t="s">
        <v>1030</v>
      </c>
      <c r="Q395" s="6" t="str">
        <f t="shared" si="18"/>
        <v>Vector Other</v>
      </c>
      <c r="R395" s="21"/>
    </row>
    <row r="396" spans="1:18" x14ac:dyDescent="0.2">
      <c r="A396" s="3" t="str">
        <f t="shared" si="16"/>
        <v>F15SP_SUBP8</v>
      </c>
      <c r="B396" s="6" t="s">
        <v>15</v>
      </c>
      <c r="C396" s="6" t="s">
        <v>417</v>
      </c>
      <c r="D396" s="6" t="s">
        <v>418</v>
      </c>
      <c r="E396" s="6" t="s">
        <v>337</v>
      </c>
      <c r="F396" s="6" t="s">
        <v>314</v>
      </c>
      <c r="G396" s="6" t="s">
        <v>419</v>
      </c>
      <c r="H396" s="6" t="s">
        <v>419</v>
      </c>
      <c r="I396" s="6" t="s">
        <v>338</v>
      </c>
      <c r="J396" s="6" t="s">
        <v>339</v>
      </c>
      <c r="K396" s="6" t="s">
        <v>339</v>
      </c>
      <c r="L396" s="6" t="s">
        <v>317</v>
      </c>
      <c r="M396" s="6" t="s">
        <v>318</v>
      </c>
      <c r="N396" s="6" t="s">
        <v>319</v>
      </c>
      <c r="O396" s="6" t="s">
        <v>318</v>
      </c>
      <c r="P396" s="6" t="s">
        <v>319</v>
      </c>
      <c r="Q396" s="6" t="str">
        <f t="shared" si="18"/>
        <v>Practice Teams</v>
      </c>
      <c r="R396" s="21"/>
    </row>
    <row r="397" spans="1:18" x14ac:dyDescent="0.2">
      <c r="A397" s="3" t="str">
        <f t="shared" si="16"/>
        <v>VECBB</v>
      </c>
      <c r="B397" s="6" t="s">
        <v>23</v>
      </c>
      <c r="C397" s="6" t="s">
        <v>1161</v>
      </c>
      <c r="D397" s="6" t="s">
        <v>1027</v>
      </c>
      <c r="E397" s="6"/>
      <c r="F397" s="6" t="s">
        <v>1028</v>
      </c>
      <c r="G397" s="6" t="s">
        <v>1032</v>
      </c>
      <c r="H397" s="6" t="s">
        <v>1032</v>
      </c>
      <c r="I397" s="6" t="s">
        <v>18</v>
      </c>
      <c r="J397" s="6" t="s">
        <v>18</v>
      </c>
      <c r="K397" s="6" t="s">
        <v>18</v>
      </c>
      <c r="L397" s="6" t="s">
        <v>1029</v>
      </c>
      <c r="M397" s="6" t="s">
        <v>1030</v>
      </c>
      <c r="N397" s="6" t="s">
        <v>1030</v>
      </c>
      <c r="O397" s="6" t="s">
        <v>1030</v>
      </c>
      <c r="P397" s="6" t="s">
        <v>1030</v>
      </c>
      <c r="Q397" s="6" t="str">
        <f t="shared" si="18"/>
        <v>Vector Other</v>
      </c>
      <c r="R397" s="21" t="s">
        <v>1553</v>
      </c>
    </row>
    <row r="398" spans="1:18" x14ac:dyDescent="0.2">
      <c r="A398" s="3" t="str">
        <f t="shared" si="16"/>
        <v>VECC7</v>
      </c>
      <c r="B398" s="6" t="s">
        <v>15</v>
      </c>
      <c r="C398" s="6" t="s">
        <v>1031</v>
      </c>
      <c r="D398" s="6" t="s">
        <v>1027</v>
      </c>
      <c r="E398" s="6"/>
      <c r="F398" s="6" t="s">
        <v>1028</v>
      </c>
      <c r="G398" s="6" t="s">
        <v>1032</v>
      </c>
      <c r="H398" s="6" t="s">
        <v>1032</v>
      </c>
      <c r="I398" s="6" t="s">
        <v>18</v>
      </c>
      <c r="J398" s="6" t="s">
        <v>18</v>
      </c>
      <c r="K398" s="6" t="s">
        <v>18</v>
      </c>
      <c r="L398" s="6" t="s">
        <v>1029</v>
      </c>
      <c r="M398" s="6" t="s">
        <v>1030</v>
      </c>
      <c r="N398" s="6" t="s">
        <v>1030</v>
      </c>
      <c r="O398" s="6" t="s">
        <v>1030</v>
      </c>
      <c r="P398" s="6" t="s">
        <v>1030</v>
      </c>
      <c r="Q398" s="6" t="str">
        <f t="shared" si="18"/>
        <v>Vector Other</v>
      </c>
      <c r="R398" s="21" t="s">
        <v>1629</v>
      </c>
    </row>
    <row r="399" spans="1:18" x14ac:dyDescent="0.2">
      <c r="A399" s="3" t="str">
        <f t="shared" si="16"/>
        <v>VECVP</v>
      </c>
      <c r="B399" s="6" t="s">
        <v>23</v>
      </c>
      <c r="C399" s="6" t="s">
        <v>1026</v>
      </c>
      <c r="D399" s="6" t="s">
        <v>1027</v>
      </c>
      <c r="E399" s="6"/>
      <c r="F399" s="6" t="s">
        <v>1028</v>
      </c>
      <c r="G399" s="6" t="s">
        <v>1032</v>
      </c>
      <c r="H399" s="6" t="s">
        <v>1032</v>
      </c>
      <c r="I399" s="6" t="s">
        <v>18</v>
      </c>
      <c r="J399" s="6" t="s">
        <v>18</v>
      </c>
      <c r="K399" s="6" t="s">
        <v>18</v>
      </c>
      <c r="L399" s="6" t="s">
        <v>1029</v>
      </c>
      <c r="M399" s="6" t="s">
        <v>1030</v>
      </c>
      <c r="N399" s="6" t="s">
        <v>1030</v>
      </c>
      <c r="O399" s="6" t="s">
        <v>1030</v>
      </c>
      <c r="P399" s="6" t="s">
        <v>1030</v>
      </c>
      <c r="Q399" s="6" t="str">
        <f t="shared" si="18"/>
        <v>Vector Other</v>
      </c>
      <c r="R399" s="21" t="s">
        <v>1553</v>
      </c>
    </row>
    <row r="400" spans="1:18" x14ac:dyDescent="0.2">
      <c r="A400" s="3" t="str">
        <f t="shared" si="16"/>
        <v>F16VD</v>
      </c>
      <c r="B400" s="6" t="s">
        <v>23</v>
      </c>
      <c r="C400" s="6" t="s">
        <v>437</v>
      </c>
      <c r="D400" s="6" t="s">
        <v>438</v>
      </c>
      <c r="E400" s="6"/>
      <c r="F400" s="6" t="s">
        <v>428</v>
      </c>
      <c r="G400" s="6" t="s">
        <v>439</v>
      </c>
      <c r="H400" s="6" t="s">
        <v>439</v>
      </c>
      <c r="I400" s="6" t="s">
        <v>18</v>
      </c>
      <c r="J400" s="6" t="s">
        <v>18</v>
      </c>
      <c r="K400" s="6" t="s">
        <v>18</v>
      </c>
      <c r="L400" s="6" t="s">
        <v>431</v>
      </c>
      <c r="M400" s="6" t="s">
        <v>372</v>
      </c>
      <c r="N400" s="6" t="s">
        <v>432</v>
      </c>
      <c r="O400" s="6" t="s">
        <v>372</v>
      </c>
      <c r="P400" s="6" t="s">
        <v>432</v>
      </c>
      <c r="Q400" s="6" t="str">
        <f t="shared" si="18"/>
        <v>E2 Other</v>
      </c>
      <c r="R400" s="21"/>
    </row>
    <row r="401" spans="1:18" x14ac:dyDescent="0.2">
      <c r="A401" s="3" t="str">
        <f t="shared" si="16"/>
        <v>WUHJ</v>
      </c>
      <c r="B401" s="6" t="s">
        <v>15</v>
      </c>
      <c r="C401" s="7" t="s">
        <v>1402</v>
      </c>
      <c r="D401" s="7" t="s">
        <v>1403</v>
      </c>
      <c r="E401" s="6"/>
      <c r="F401" s="6" t="s">
        <v>1156</v>
      </c>
      <c r="G401" s="6" t="s">
        <v>1404</v>
      </c>
      <c r="H401" s="7" t="s">
        <v>1404</v>
      </c>
      <c r="I401" s="6"/>
      <c r="J401" s="6"/>
      <c r="K401" s="6"/>
      <c r="L401" s="6" t="s">
        <v>1158</v>
      </c>
      <c r="M401" s="6" t="s">
        <v>1159</v>
      </c>
      <c r="N401" s="6" t="s">
        <v>1160</v>
      </c>
      <c r="O401" s="6" t="s">
        <v>1159</v>
      </c>
      <c r="P401" s="6" t="s">
        <v>1160</v>
      </c>
      <c r="Q401" s="6" t="str">
        <f t="shared" si="18"/>
        <v>Capability Delivery Other</v>
      </c>
      <c r="R401" s="21"/>
    </row>
    <row r="402" spans="1:18" x14ac:dyDescent="0.2">
      <c r="A402" s="3" t="str">
        <f t="shared" si="16"/>
        <v>F10BA_SUBAZ</v>
      </c>
      <c r="B402" s="6" t="s">
        <v>15</v>
      </c>
      <c r="C402" s="6" t="s">
        <v>218</v>
      </c>
      <c r="D402" s="6" t="s">
        <v>219</v>
      </c>
      <c r="E402" s="6" t="s">
        <v>214</v>
      </c>
      <c r="F402" s="6" t="s">
        <v>189</v>
      </c>
      <c r="G402" s="6" t="s">
        <v>220</v>
      </c>
      <c r="H402" s="6" t="s">
        <v>220</v>
      </c>
      <c r="I402" s="6" t="s">
        <v>216</v>
      </c>
      <c r="J402" s="6" t="s">
        <v>217</v>
      </c>
      <c r="K402" s="6" t="s">
        <v>217</v>
      </c>
      <c r="L402" s="6" t="s">
        <v>191</v>
      </c>
      <c r="M402" s="6" t="s">
        <v>192</v>
      </c>
      <c r="N402" s="6" t="s">
        <v>192</v>
      </c>
      <c r="O402" s="6" t="s">
        <v>192</v>
      </c>
      <c r="P402" s="6" t="s">
        <v>192</v>
      </c>
      <c r="Q402" s="6" t="str">
        <f t="shared" si="18"/>
        <v>Brand Studio</v>
      </c>
      <c r="R402" s="21"/>
    </row>
    <row r="403" spans="1:18" x14ac:dyDescent="0.2">
      <c r="A403" s="3" t="str">
        <f t="shared" si="16"/>
        <v>BCIQ</v>
      </c>
      <c r="B403" s="6" t="s">
        <v>15</v>
      </c>
      <c r="C403" s="20" t="s">
        <v>1668</v>
      </c>
      <c r="D403" s="20" t="s">
        <v>1670</v>
      </c>
      <c r="E403" s="3"/>
      <c r="F403" s="20" t="s">
        <v>19</v>
      </c>
      <c r="G403" s="6" t="s">
        <v>1672</v>
      </c>
      <c r="H403" s="6" t="s">
        <v>1672</v>
      </c>
      <c r="I403" s="3"/>
      <c r="J403" s="3"/>
      <c r="K403" s="3"/>
      <c r="L403" s="20" t="s">
        <v>22</v>
      </c>
      <c r="M403" s="6" t="s">
        <v>20</v>
      </c>
      <c r="N403" s="6" t="s">
        <v>21</v>
      </c>
      <c r="O403" s="6" t="s">
        <v>20</v>
      </c>
      <c r="P403" s="6" t="s">
        <v>21</v>
      </c>
      <c r="Q403" s="6" t="str">
        <f>IF(J403&lt;&gt;"",J403,_xlfn.CONCAT(O403," Other"))</f>
        <v>BCN Other</v>
      </c>
    </row>
    <row r="404" spans="1:18" x14ac:dyDescent="0.2">
      <c r="A404" s="3" t="str">
        <f t="shared" si="16"/>
        <v>WUIY</v>
      </c>
      <c r="B404" s="6" t="s">
        <v>15</v>
      </c>
      <c r="C404" s="20" t="s">
        <v>1669</v>
      </c>
      <c r="D404" s="20" t="s">
        <v>1671</v>
      </c>
      <c r="E404" s="3"/>
      <c r="F404" s="20" t="s">
        <v>1156</v>
      </c>
      <c r="G404" s="6" t="s">
        <v>1673</v>
      </c>
      <c r="H404" s="6" t="s">
        <v>1673</v>
      </c>
      <c r="I404" s="3"/>
      <c r="J404" s="3"/>
      <c r="K404" s="3"/>
      <c r="L404" s="20" t="s">
        <v>1158</v>
      </c>
      <c r="M404" s="6" t="s">
        <v>1159</v>
      </c>
      <c r="N404" s="6" t="s">
        <v>1160</v>
      </c>
      <c r="O404" s="6" t="s">
        <v>1159</v>
      </c>
      <c r="P404" s="6" t="s">
        <v>1160</v>
      </c>
      <c r="Q404" s="6" t="str">
        <f t="shared" si="18"/>
        <v>Capability Delivery Other</v>
      </c>
    </row>
    <row r="405" spans="1:18" x14ac:dyDescent="0.2">
      <c r="A405" s="3" t="str">
        <f t="shared" ref="A405:A413" si="19">_xlfn.CONCAT(L405,I405,C405)</f>
        <v>F15BS_SUBC3</v>
      </c>
      <c r="B405" s="6" t="s">
        <v>23</v>
      </c>
      <c r="C405" s="29" t="s">
        <v>1783</v>
      </c>
      <c r="D405" s="29" t="s">
        <v>1784</v>
      </c>
      <c r="E405" s="29" t="s">
        <v>1787</v>
      </c>
      <c r="F405" s="29" t="s">
        <v>314</v>
      </c>
      <c r="G405" s="3" t="s">
        <v>1790</v>
      </c>
      <c r="H405" s="3" t="s">
        <v>1790</v>
      </c>
      <c r="I405" s="29" t="s">
        <v>1788</v>
      </c>
      <c r="J405" s="29" t="s">
        <v>20</v>
      </c>
      <c r="K405" s="3"/>
      <c r="L405" s="29" t="s">
        <v>317</v>
      </c>
      <c r="M405" s="3"/>
      <c r="N405" s="6" t="s">
        <v>319</v>
      </c>
      <c r="O405" s="6" t="s">
        <v>318</v>
      </c>
      <c r="P405" s="6" t="s">
        <v>319</v>
      </c>
      <c r="Q405" s="6" t="str">
        <f t="shared" si="18"/>
        <v>BCN</v>
      </c>
      <c r="R405" s="24" t="s">
        <v>1789</v>
      </c>
    </row>
    <row r="406" spans="1:18" x14ac:dyDescent="0.2">
      <c r="A406" s="3" t="str">
        <f t="shared" si="19"/>
        <v>F15SP_SUBP6</v>
      </c>
      <c r="B406" s="6" t="s">
        <v>23</v>
      </c>
      <c r="C406" s="29" t="s">
        <v>1776</v>
      </c>
      <c r="D406" s="29" t="s">
        <v>1785</v>
      </c>
      <c r="E406" s="29" t="s">
        <v>337</v>
      </c>
      <c r="F406" s="29" t="s">
        <v>314</v>
      </c>
      <c r="G406" s="3" t="s">
        <v>1791</v>
      </c>
      <c r="H406" s="3" t="s">
        <v>1791</v>
      </c>
      <c r="I406" s="29" t="s">
        <v>338</v>
      </c>
      <c r="J406" s="29" t="s">
        <v>339</v>
      </c>
      <c r="K406" s="6" t="s">
        <v>339</v>
      </c>
      <c r="L406" s="29" t="s">
        <v>317</v>
      </c>
      <c r="M406" s="3"/>
      <c r="N406" s="6" t="s">
        <v>319</v>
      </c>
      <c r="O406" s="6" t="s">
        <v>318</v>
      </c>
      <c r="P406" s="6" t="s">
        <v>319</v>
      </c>
      <c r="Q406" s="6" t="str">
        <f t="shared" si="18"/>
        <v>Practice Teams</v>
      </c>
      <c r="R406" s="24" t="s">
        <v>1789</v>
      </c>
    </row>
    <row r="407" spans="1:18" x14ac:dyDescent="0.2">
      <c r="A407" s="3" t="str">
        <f t="shared" si="19"/>
        <v>F4RG</v>
      </c>
      <c r="B407" s="6" t="s">
        <v>23</v>
      </c>
      <c r="C407" s="29" t="s">
        <v>1775</v>
      </c>
      <c r="D407" s="29" t="s">
        <v>1786</v>
      </c>
      <c r="E407" s="3"/>
      <c r="F407" s="29" t="s">
        <v>680</v>
      </c>
      <c r="G407" s="3" t="s">
        <v>1792</v>
      </c>
      <c r="H407" s="3" t="s">
        <v>1792</v>
      </c>
      <c r="I407" s="3"/>
      <c r="J407" s="3"/>
      <c r="K407" s="3"/>
      <c r="L407" s="29" t="s">
        <v>686</v>
      </c>
      <c r="M407" s="3"/>
      <c r="N407" s="6" t="s">
        <v>688</v>
      </c>
      <c r="O407" s="6" t="s">
        <v>687</v>
      </c>
      <c r="P407" s="6" t="s">
        <v>688</v>
      </c>
      <c r="Q407" s="6" t="str">
        <f t="shared" si="18"/>
        <v>Ops Other</v>
      </c>
      <c r="R407" s="24" t="s">
        <v>1789</v>
      </c>
    </row>
    <row r="408" spans="1:18" x14ac:dyDescent="0.2">
      <c r="A408" s="3" t="str">
        <f t="shared" si="19"/>
        <v>SLFR_SUBCV</v>
      </c>
      <c r="B408" s="6" t="s">
        <v>23</v>
      </c>
      <c r="C408" s="29" t="s">
        <v>1782</v>
      </c>
      <c r="D408" s="29" t="s">
        <v>881</v>
      </c>
      <c r="E408" s="6" t="s">
        <v>875</v>
      </c>
      <c r="F408" s="6" t="s">
        <v>876</v>
      </c>
      <c r="G408" s="6" t="s">
        <v>872</v>
      </c>
      <c r="H408" s="6" t="s">
        <v>872</v>
      </c>
      <c r="I408" s="6" t="s">
        <v>879</v>
      </c>
      <c r="J408" s="6" t="s">
        <v>872</v>
      </c>
      <c r="K408" s="6" t="s">
        <v>872</v>
      </c>
      <c r="L408" s="6" t="s">
        <v>871</v>
      </c>
      <c r="M408" s="6" t="s">
        <v>1484</v>
      </c>
      <c r="N408" s="6" t="s">
        <v>1485</v>
      </c>
      <c r="O408" s="6" t="s">
        <v>872</v>
      </c>
      <c r="P408" s="6" t="s">
        <v>872</v>
      </c>
      <c r="Q408" s="6" t="str">
        <f t="shared" si="18"/>
        <v>FRWD</v>
      </c>
      <c r="R408" s="24" t="s">
        <v>1794</v>
      </c>
    </row>
    <row r="409" spans="1:18" x14ac:dyDescent="0.2">
      <c r="A409" s="3" t="str">
        <f t="shared" si="19"/>
        <v>F15SP_SUBIN</v>
      </c>
      <c r="B409" s="6" t="s">
        <v>23</v>
      </c>
      <c r="C409" s="29" t="s">
        <v>1781</v>
      </c>
      <c r="D409" s="29" t="s">
        <v>402</v>
      </c>
      <c r="E409" s="6" t="s">
        <v>337</v>
      </c>
      <c r="F409" s="6" t="s">
        <v>314</v>
      </c>
      <c r="G409" s="6" t="s">
        <v>403</v>
      </c>
      <c r="H409" s="6" t="s">
        <v>404</v>
      </c>
      <c r="I409" s="6" t="s">
        <v>338</v>
      </c>
      <c r="J409" s="6" t="s">
        <v>339</v>
      </c>
      <c r="K409" s="6" t="s">
        <v>339</v>
      </c>
      <c r="L409" s="6" t="s">
        <v>317</v>
      </c>
      <c r="M409" s="6" t="s">
        <v>318</v>
      </c>
      <c r="N409" s="6" t="s">
        <v>319</v>
      </c>
      <c r="O409" s="6" t="s">
        <v>318</v>
      </c>
      <c r="P409" s="6" t="s">
        <v>319</v>
      </c>
      <c r="Q409" s="6" t="str">
        <f t="shared" si="18"/>
        <v>Practice Teams</v>
      </c>
      <c r="R409" s="24" t="s">
        <v>1796</v>
      </c>
    </row>
    <row r="410" spans="1:18" x14ac:dyDescent="0.2">
      <c r="A410" s="3" t="str">
        <f t="shared" si="19"/>
        <v>SLFR_SUBM0</v>
      </c>
      <c r="B410" s="6" t="s">
        <v>23</v>
      </c>
      <c r="C410" s="29" t="s">
        <v>1780</v>
      </c>
      <c r="D410" s="29" t="s">
        <v>881</v>
      </c>
      <c r="E410" s="6" t="s">
        <v>875</v>
      </c>
      <c r="F410" s="6" t="s">
        <v>876</v>
      </c>
      <c r="G410" s="6" t="s">
        <v>872</v>
      </c>
      <c r="H410" s="6" t="s">
        <v>872</v>
      </c>
      <c r="I410" s="6" t="s">
        <v>879</v>
      </c>
      <c r="J410" s="6" t="s">
        <v>872</v>
      </c>
      <c r="K410" s="6" t="s">
        <v>872</v>
      </c>
      <c r="L410" s="6" t="s">
        <v>871</v>
      </c>
      <c r="M410" s="6" t="s">
        <v>1484</v>
      </c>
      <c r="N410" s="6" t="s">
        <v>1485</v>
      </c>
      <c r="O410" s="6" t="s">
        <v>872</v>
      </c>
      <c r="P410" s="6" t="s">
        <v>872</v>
      </c>
      <c r="Q410" s="6" t="str">
        <f t="shared" si="18"/>
        <v>FRWD</v>
      </c>
      <c r="R410" s="24" t="s">
        <v>1794</v>
      </c>
    </row>
    <row r="411" spans="1:18" x14ac:dyDescent="0.2">
      <c r="A411" s="3" t="str">
        <f t="shared" si="19"/>
        <v>SLFR_SUBM9</v>
      </c>
      <c r="B411" s="6" t="s">
        <v>23</v>
      </c>
      <c r="C411" s="29" t="s">
        <v>1779</v>
      </c>
      <c r="D411" s="29" t="s">
        <v>881</v>
      </c>
      <c r="E411" s="6" t="s">
        <v>875</v>
      </c>
      <c r="F411" s="6" t="s">
        <v>876</v>
      </c>
      <c r="G411" s="6" t="s">
        <v>872</v>
      </c>
      <c r="H411" s="6" t="s">
        <v>872</v>
      </c>
      <c r="I411" s="6" t="s">
        <v>879</v>
      </c>
      <c r="J411" s="6" t="s">
        <v>872</v>
      </c>
      <c r="K411" s="6" t="s">
        <v>872</v>
      </c>
      <c r="L411" s="6" t="s">
        <v>871</v>
      </c>
      <c r="M411" s="6" t="s">
        <v>1484</v>
      </c>
      <c r="N411" s="6" t="s">
        <v>1485</v>
      </c>
      <c r="O411" s="6" t="s">
        <v>872</v>
      </c>
      <c r="P411" s="6" t="s">
        <v>872</v>
      </c>
      <c r="Q411" s="6" t="str">
        <f t="shared" si="18"/>
        <v>FRWD</v>
      </c>
      <c r="R411" s="24" t="s">
        <v>1794</v>
      </c>
    </row>
    <row r="412" spans="1:18" x14ac:dyDescent="0.2">
      <c r="A412" s="3" t="str">
        <f t="shared" si="19"/>
        <v>SLFR_SUBMA</v>
      </c>
      <c r="B412" s="6" t="s">
        <v>23</v>
      </c>
      <c r="C412" s="29" t="s">
        <v>1778</v>
      </c>
      <c r="D412" s="29" t="s">
        <v>881</v>
      </c>
      <c r="E412" s="6" t="s">
        <v>875</v>
      </c>
      <c r="F412" s="6" t="s">
        <v>876</v>
      </c>
      <c r="G412" s="6" t="s">
        <v>872</v>
      </c>
      <c r="H412" s="6" t="s">
        <v>872</v>
      </c>
      <c r="I412" s="6" t="s">
        <v>879</v>
      </c>
      <c r="J412" s="6" t="s">
        <v>872</v>
      </c>
      <c r="K412" s="6" t="s">
        <v>872</v>
      </c>
      <c r="L412" s="6" t="s">
        <v>871</v>
      </c>
      <c r="M412" s="6" t="s">
        <v>1484</v>
      </c>
      <c r="N412" s="6" t="s">
        <v>1485</v>
      </c>
      <c r="O412" s="6" t="s">
        <v>872</v>
      </c>
      <c r="P412" s="6" t="s">
        <v>872</v>
      </c>
      <c r="Q412" s="6" t="str">
        <f t="shared" si="18"/>
        <v>FRWD</v>
      </c>
      <c r="R412" s="24" t="s">
        <v>1794</v>
      </c>
    </row>
    <row r="413" spans="1:18" x14ac:dyDescent="0.2">
      <c r="A413" s="3" t="str">
        <f t="shared" si="19"/>
        <v>SLFR_SUBMO</v>
      </c>
      <c r="B413" s="6" t="s">
        <v>23</v>
      </c>
      <c r="C413" s="29" t="s">
        <v>1777</v>
      </c>
      <c r="D413" s="29" t="s">
        <v>881</v>
      </c>
      <c r="E413" s="6" t="s">
        <v>875</v>
      </c>
      <c r="F413" s="6" t="s">
        <v>876</v>
      </c>
      <c r="G413" s="6" t="s">
        <v>872</v>
      </c>
      <c r="H413" s="6" t="s">
        <v>872</v>
      </c>
      <c r="I413" s="6" t="s">
        <v>879</v>
      </c>
      <c r="J413" s="6" t="s">
        <v>872</v>
      </c>
      <c r="K413" s="6" t="s">
        <v>872</v>
      </c>
      <c r="L413" s="6" t="s">
        <v>871</v>
      </c>
      <c r="M413" s="6" t="s">
        <v>1484</v>
      </c>
      <c r="N413" s="6" t="s">
        <v>1485</v>
      </c>
      <c r="O413" s="6" t="s">
        <v>872</v>
      </c>
      <c r="P413" s="6" t="s">
        <v>872</v>
      </c>
      <c r="Q413" s="6" t="str">
        <f t="shared" si="18"/>
        <v>FRWD</v>
      </c>
      <c r="R413" s="24" t="s">
        <v>1794</v>
      </c>
    </row>
  </sheetData>
  <autoFilter ref="A1:R413" xr:uid="{00000000-0001-0000-0100-000000000000}"/>
  <conditionalFormatting sqref="C1:C1048576">
    <cfRule type="duplicateValues" dxfId="9" priority="10"/>
  </conditionalFormatting>
  <conditionalFormatting sqref="D1:D2 D345:D350 D360:D376 D4:D18 D21:D73 D352:D356 D327:D341 D75:D76 D358 D378:D382 D192:D206 D209:D324 D78:D128 D130:D188 D386:D1048576">
    <cfRule type="duplicateValues" dxfId="8" priority="9"/>
  </conditionalFormatting>
  <conditionalFormatting sqref="D1:D1048576">
    <cfRule type="duplicateValues" dxfId="7" priority="4"/>
  </conditionalFormatting>
  <conditionalFormatting sqref="H230">
    <cfRule type="duplicateValues" dxfId="6" priority="1"/>
    <cfRule type="duplicateValues" dxfId="5" priority="2"/>
  </conditionalFormatting>
  <conditionalFormatting sqref="H343">
    <cfRule type="duplicateValues" dxfId="4" priority="3"/>
  </conditionalFormatting>
  <conditionalFormatting sqref="H371">
    <cfRule type="duplicateValues" dxfId="3" priority="7"/>
  </conditionalFormatting>
  <conditionalFormatting sqref="H372">
    <cfRule type="duplicateValues" dxfId="2" priority="6"/>
  </conditionalFormatting>
  <conditionalFormatting sqref="H376">
    <cfRule type="duplicateValues" dxfId="1" priority="5"/>
  </conditionalFormatting>
  <conditionalFormatting sqref="H400:H401">
    <cfRule type="duplicateValues" dxfId="0" priority="8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612D826831B4DBB6C18FC80675B08" ma:contentTypeVersion="20" ma:contentTypeDescription="Create a new document." ma:contentTypeScope="" ma:versionID="65daa6ba0eec231adf0655b08e4789c8">
  <xsd:schema xmlns:xsd="http://www.w3.org/2001/XMLSchema" xmlns:xs="http://www.w3.org/2001/XMLSchema" xmlns:p="http://schemas.microsoft.com/office/2006/metadata/properties" xmlns:ns2="7cf9e574-87bc-4b07-82f6-b83c0e864eca" xmlns:ns3="81269531-62de-49ce-accd-8f1a3e9ac4e3" xmlns:ns4="0e427f73-0d6a-4740-aee4-eea3ddf9cfe2" targetNamespace="http://schemas.microsoft.com/office/2006/metadata/properties" ma:root="true" ma:fieldsID="6c230f919bec67f60b1e4de7afd4b4c2" ns2:_="" ns3:_="" ns4:_="">
    <xsd:import namespace="7cf9e574-87bc-4b07-82f6-b83c0e864eca"/>
    <xsd:import namespace="81269531-62de-49ce-accd-8f1a3e9ac4e3"/>
    <xsd:import namespace="0e427f73-0d6a-4740-aee4-eea3ddf9cf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4:TaxCatchAll" minOccurs="0"/>
                <xsd:element ref="ns2:MediaServiceObjectDetectorVersions" minOccurs="0"/>
                <xsd:element ref="ns2:lcf76f155ced4ddcb4097134ff3c332f" minOccurs="0"/>
                <xsd:element ref="ns2:MediaServiceSearchProperties" minOccurs="0"/>
                <xsd:element ref="ns2:UpdatedGeoHierarchyreffi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9e574-87bc-4b07-82f6-b83c0e864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b166abb-7d38-406f-9233-2f33b10ae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datedGeoHierarchyreffile" ma:index="25" nillable="true" ma:displayName="Updated Geo Hierarchy ref file" ma:default="Just Visited. No updates" ma:description="“No Sub-Region” to “N/A”" ma:format="Dropdown" ma:internalName="UpdatedGeoHierarchyreffil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69531-62de-49ce-accd-8f1a3e9ac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27f73-0d6a-4740-aee4-eea3ddf9cfe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f3d588-18ae-4950-97f0-c1001bde8032}" ma:internalName="TaxCatchAll" ma:showField="CatchAllData" ma:web="81269531-62de-49ce-accd-8f1a3e9ac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btfe>
  <version>2.2.5.29</version>
  <type>unbranded</type>
  <hasIndex>true</hasIndex>
  <hasSheetHeaders>false</hasSheetHeaders>
</btfe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427f73-0d6a-4740-aee4-eea3ddf9cfe2" xsi:nil="true"/>
    <lcf76f155ced4ddcb4097134ff3c332f xmlns="7cf9e574-87bc-4b07-82f6-b83c0e864eca">
      <Terms xmlns="http://schemas.microsoft.com/office/infopath/2007/PartnerControls"/>
    </lcf76f155ced4ddcb4097134ff3c332f>
    <UpdatedGeoHierarchyreffile xmlns="7cf9e574-87bc-4b07-82f6-b83c0e864eca">Just Visited. No updates</UpdatedGeoHierarchyreffile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F9D43C-78D7-4BA3-96BD-44B6025D6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f9e574-87bc-4b07-82f6-b83c0e864eca"/>
    <ds:schemaRef ds:uri="81269531-62de-49ce-accd-8f1a3e9ac4e3"/>
    <ds:schemaRef ds:uri="0e427f73-0d6a-4740-aee4-eea3ddf9cf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FD8DB7-91A3-4AD5-9BF4-F23CCB1A46F8}">
  <ds:schemaRefs/>
</ds:datastoreItem>
</file>

<file path=customXml/itemProps3.xml><?xml version="1.0" encoding="utf-8"?>
<ds:datastoreItem xmlns:ds="http://schemas.openxmlformats.org/officeDocument/2006/customXml" ds:itemID="{E8217EC4-2B53-4585-A8AE-60C64436A0C1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668e0c8-ea1e-4b17-ba38-fb62acd5ad96"/>
    <ds:schemaRef ds:uri="http://purl.org/dc/elements/1.1/"/>
    <ds:schemaRef ds:uri="0e427f73-0d6a-4740-aee4-eea3ddf9cfe2"/>
    <ds:schemaRef ds:uri="faa9e731-1106-4a21-9f0a-aeaea90f9ab7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7cf9e574-87bc-4b07-82f6-b83c0e864eca"/>
  </ds:schemaRefs>
</ds:datastoreItem>
</file>

<file path=customXml/itemProps4.xml><?xml version="1.0" encoding="utf-8"?>
<ds:datastoreItem xmlns:ds="http://schemas.openxmlformats.org/officeDocument/2006/customXml" ds:itemID="{21F841B6-726F-44D3-A617-1412E772BB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 Hierarchy_260206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Megan</dc:creator>
  <cp:keywords/>
  <dc:description/>
  <cp:lastModifiedBy>Garrow, Ali</cp:lastModifiedBy>
  <cp:revision/>
  <dcterms:created xsi:type="dcterms:W3CDTF">2013-06-27T12:25:43Z</dcterms:created>
  <dcterms:modified xsi:type="dcterms:W3CDTF">2026-06-26T14:11:28Z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  <property fmtid="{D5CDD505-2E9C-101B-9397-08002B2CF9AE}" pid="3" name="ContentTypeId">
    <vt:lpwstr>0x010100707612D826831B4DBB6C18FC80675B08</vt:lpwstr>
  </property>
  <property fmtid="{D5CDD505-2E9C-101B-9397-08002B2CF9AE}" pid="4" name="MediaServiceImageTags">
    <vt:lpwstr/>
  </property>
</Properties>
</file>